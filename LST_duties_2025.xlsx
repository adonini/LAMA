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ties 2025"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A1" authorId="0">
      <text>
        <r>
          <rPr>
            <sz val="10"/>
            <color rgb="FF000000"/>
            <rFont val="Helvetica Neue"/>
            <family val="0"/>
            <charset val="1"/>
          </rPr>
          <t xml:space="preserve">Also here we need some help. FOr the moment I am helping when I can but they need to have support here, I would pout a "1" for each line at least
	-Domenico della Volpe
here Andrea has to provide the number of people they have working on the LST South.
	-Daniel Mazin
----
Here the number are not set. we asked for 8 and only 3 are somehow covered. But I cannot modify
	-Domenico della Volpe
This is LST2-4 only, not general LST SE. General LST SE is 1.3 (line 6)
	-Daniel Mazin</t>
        </r>
      </text>
    </comment>
    <comment ref="H66" authorId="0">
      <text>
        <r>
          <rPr>
            <sz val="10"/>
            <color rgb="FF000000"/>
            <rFont val="Helvetica Neue"/>
            <family val="0"/>
            <charset val="1"/>
          </rPr>
          <t xml:space="preserve">1, if P084 is considered (period not issued in the last call), else 1 -&gt; 0
	-Arnau Aguasca-Cabot
If there are 12 names can you provide 12 names with theyear where the duty applied. Like Joe.Doe (2024)
	-Daniel Mazin
Sorry for the confusion. I added the information I sent you by email as a comment in the column "names &amp; dates"
	-Arnau Aguasca-Cabot</t>
        </r>
      </text>
    </comment>
    <comment ref="K66" authorId="0">
      <text>
        <r>
          <rPr>
            <sz val="10"/>
            <color rgb="FF000000"/>
            <rFont val="Helvetica Neue"/>
            <family val="0"/>
            <charset val="1"/>
          </rPr>
          <t xml:space="preserve">[format: name surname (year, number of duties)]: Javier Méndez-Gallego (2024, 1), Sweta Menon (2024, 1), Lea Heckmann (2024, 1), Irene Jimenez Martinez (2024, 1), Juan Bernete (2024, 1), Roger Grau (2024, 1), Ryuji Takeishi (2024, 1), Helena Luciani (2024, 1), Yusuke Suda (2024, 0.5), Joshua Baxter (2024, 0.5), Tora Therese Høiland Arnesen (2024, 0.5), Thomas Tavernier (2024, 0.5), Joshua Baxter (2025, 0.5), Tora Therese Høiland Arnesen (2025, 0.5), Thomas Tavernier (2025, 0.5), Cyann Plard (2025, 1), Guillaume Grolleron (2025, 1), Sweta Menon (2025, 1), Yusuke Suda (2025, 1.5), Mathilde Croisonnier (2025, 1), Helena Luciani (2025, 1), Hideaki Katagiri (2025, 1), Alan Sunny (2025, 1), Ryuji Takeishi (2025, 1)
	-Arnau Aguasca-Cabot</t>
        </r>
      </text>
    </comment>
    <comment ref="K73" authorId="0">
      <text>
        <r>
          <rPr>
            <sz val="10"/>
            <color rgb="FF000000"/>
            <rFont val="Helvetica Neue"/>
            <family val="0"/>
            <charset val="1"/>
          </rPr>
          <t xml:space="preserve">Same comment as for 4.6.3
	-Vitalii Sliusar
that's about the hardware. Unless you want to travel to LP, I do not include your name here
	-Daniel Mazin</t>
        </r>
      </text>
    </comment>
  </commentList>
</comments>
</file>

<file path=xl/sharedStrings.xml><?xml version="1.0" encoding="utf-8"?>
<sst xmlns="http://schemas.openxmlformats.org/spreadsheetml/2006/main" count="683" uniqueCount="497">
  <si>
    <t xml:space="preserve">PBS</t>
  </si>
  <si>
    <t xml:space="preserve">Level 1</t>
  </si>
  <si>
    <t xml:space="preserve">Level 2</t>
  </si>
  <si>
    <t xml:space="preserve">Level 3</t>
  </si>
  <si>
    <t xml:space="preserve">Type of duty</t>
  </si>
  <si>
    <t xml:space="preserve">Max number of Duties</t>
  </si>
  <si>
    <t xml:space="preserve">Number of covered Duties</t>
  </si>
  <si>
    <t xml:space="preserve">Number of Vacant duties</t>
  </si>
  <si>
    <t xml:space="preserve">Description</t>
  </si>
  <si>
    <t xml:space="preserve">Comment</t>
  </si>
  <si>
    <t xml:space="preserve">Names &amp; dates</t>
  </si>
  <si>
    <t xml:space="preserve">1</t>
  </si>
  <si>
    <t xml:space="preserve">Administration</t>
  </si>
  <si>
    <t xml:space="preserve">1.1</t>
  </si>
  <si>
    <t xml:space="preserve">Secretary to take minutes, organize meetings etc</t>
  </si>
  <si>
    <t xml:space="preserve">long</t>
  </si>
  <si>
    <t xml:space="preserve">Gayoung, Tarek Hassan for Steering Committee</t>
  </si>
  <si>
    <t xml:space="preserve">2</t>
  </si>
  <si>
    <t xml:space="preserve">Management/Coordination</t>
  </si>
  <si>
    <t xml:space="preserve">2.1</t>
  </si>
  <si>
    <t xml:space="preserve">Principle Investigators</t>
  </si>
  <si>
    <t xml:space="preserve">Masahiro Teshima, Angelo Antonelli</t>
  </si>
  <si>
    <t xml:space="preserve">2.2</t>
  </si>
  <si>
    <t xml:space="preserve">Project Managers</t>
  </si>
  <si>
    <t xml:space="preserve">Daniel Mazin, Alice Donini</t>
  </si>
  <si>
    <t xml:space="preserve">2.3</t>
  </si>
  <si>
    <t xml:space="preserve">Telescope Managers</t>
  </si>
  <si>
    <t xml:space="preserve">Patricia, Alice</t>
  </si>
  <si>
    <t xml:space="preserve">2.4</t>
  </si>
  <si>
    <t xml:space="preserve">Technical Coordinators</t>
  </si>
  <si>
    <t xml:space="preserve">Alice Donini</t>
  </si>
  <si>
    <t xml:space="preserve">2.5</t>
  </si>
  <si>
    <t xml:space="preserve">Operation Coordinators</t>
  </si>
  <si>
    <t xml:space="preserve">2.6</t>
  </si>
  <si>
    <t xml:space="preserve">Safety Coordination</t>
  </si>
  <si>
    <t xml:space="preserve">Patricia, Josepa</t>
  </si>
  <si>
    <t xml:space="preserve">2.7</t>
  </si>
  <si>
    <t xml:space="preserve">Structure Coordinators</t>
  </si>
  <si>
    <t xml:space="preserve">Thomas Schweizer, Holger Wetteskind</t>
  </si>
  <si>
    <t xml:space="preserve">2.8</t>
  </si>
  <si>
    <t xml:space="preserve">Optics Coordinators</t>
  </si>
  <si>
    <t xml:space="preserve">Koji, Lad'a</t>
  </si>
  <si>
    <t xml:space="preserve">2.9</t>
  </si>
  <si>
    <t xml:space="preserve">Camera Coordinators</t>
  </si>
  <si>
    <t xml:space="preserve">Taka, Oscar, Carlos (Del), Seiya (Jan 2025),</t>
  </si>
  <si>
    <t xml:space="preserve">2.10</t>
  </si>
  <si>
    <t xml:space="preserve">Auxiliary Coordinators</t>
  </si>
  <si>
    <t xml:space="preserve">Armand Fiasson, David Sanchez</t>
  </si>
  <si>
    <t xml:space="preserve">2.11</t>
  </si>
  <si>
    <t xml:space="preserve">Telescope Control Coordinators</t>
  </si>
  <si>
    <t xml:space="preserve">Vitalii Sliusar, Ievgen Vovk</t>
  </si>
  <si>
    <t xml:space="preserve">2.12</t>
  </si>
  <si>
    <t xml:space="preserve">Data Analysis Coordinators</t>
  </si>
  <si>
    <t xml:space="preserve">Abelardo Moralejo, Ruben Lopez</t>
  </si>
  <si>
    <t xml:space="preserve">2.13</t>
  </si>
  <si>
    <t xml:space="preserve">Outreach Coordinators</t>
  </si>
  <si>
    <t xml:space="preserve">Serena, Jelena</t>
  </si>
  <si>
    <t xml:space="preserve">2.14</t>
  </si>
  <si>
    <t xml:space="preserve">Publication Coordinators</t>
  </si>
  <si>
    <t xml:space="preserve">Alicia Lopez</t>
  </si>
  <si>
    <t xml:space="preserve">2.15</t>
  </si>
  <si>
    <t xml:space="preserve">Physics Coordinators</t>
  </si>
  <si>
    <t xml:space="preserve">short</t>
  </si>
  <si>
    <t xml:space="preserve">Pol</t>
  </si>
  <si>
    <t xml:space="preserve">2.16</t>
  </si>
  <si>
    <t xml:space="preserve">PWG Coordinators</t>
  </si>
  <si>
    <t xml:space="preserve">Fund, Gal, Tran, Egal
no MultiMessenger</t>
  </si>
  <si>
    <t xml:space="preserve">GAL:Heide Costantini, Marcel Strzys 
EGAL: Jorge Otero Santos (Leader), Lea Heckmann (Deputy)
TRAN: Irene Burelli, Mathieu De Bony
FUND: Tomohiro Inada (Leader), Giacomo D'Amico (Duputy)</t>
  </si>
  <si>
    <t xml:space="preserve">2.17</t>
  </si>
  <si>
    <t xml:space="preserve">Advanced Camera Coordinators</t>
  </si>
  <si>
    <t xml:space="preserve">Matthieu Heller, Federico di Pierro</t>
  </si>
  <si>
    <t xml:space="preserve">3</t>
  </si>
  <si>
    <t xml:space="preserve">Boards</t>
  </si>
  <si>
    <t xml:space="preserve">3.1</t>
  </si>
  <si>
    <t xml:space="preserve">Extended Steering Committee</t>
  </si>
  <si>
    <t xml:space="preserve">Must be approved by the Steering Committee. Currently 46 members - 3 ex-officio</t>
  </si>
  <si>
    <t xml:space="preserve">https://outlook.office.com/people/group/cta-observatory.org/lst-extsc</t>
  </si>
  <si>
    <t xml:space="preserve">3.2</t>
  </si>
  <si>
    <t xml:space="preserve">Executive Board</t>
  </si>
  <si>
    <t xml:space="preserve">3.2.1</t>
  </si>
  <si>
    <t xml:space="preserve">Principle Investigator</t>
  </si>
  <si>
    <t xml:space="preserve">already counted at 2.1</t>
  </si>
  <si>
    <t xml:space="preserve">3.2.2</t>
  </si>
  <si>
    <t xml:space="preserve">Project Manager</t>
  </si>
  <si>
    <t xml:space="preserve">already counted at 2.2</t>
  </si>
  <si>
    <t xml:space="preserve">3.2.3</t>
  </si>
  <si>
    <t xml:space="preserve">already counted at 2.3</t>
  </si>
  <si>
    <t xml:space="preserve">3.2.4</t>
  </si>
  <si>
    <t xml:space="preserve">already counted at 2.4</t>
  </si>
  <si>
    <t xml:space="preserve">3.2.5</t>
  </si>
  <si>
    <t xml:space="preserve">already counted at 2.5</t>
  </si>
  <si>
    <t xml:space="preserve">3.2.6</t>
  </si>
  <si>
    <t xml:space="preserve">Safety Coordinators</t>
  </si>
  <si>
    <t xml:space="preserve">already counted at 2.6</t>
  </si>
  <si>
    <t xml:space="preserve">3.2.7</t>
  </si>
  <si>
    <t xml:space="preserve">already counted at 2.7</t>
  </si>
  <si>
    <t xml:space="preserve">3.2.8</t>
  </si>
  <si>
    <t xml:space="preserve">already counted at 2.8</t>
  </si>
  <si>
    <t xml:space="preserve">3.2.9</t>
  </si>
  <si>
    <t xml:space="preserve">already counted at 2.9</t>
  </si>
  <si>
    <t xml:space="preserve">3.2.10</t>
  </si>
  <si>
    <t xml:space="preserve">already counted at 2.10</t>
  </si>
  <si>
    <t xml:space="preserve">3.2.11</t>
  </si>
  <si>
    <t xml:space="preserve">already counted at 2.11</t>
  </si>
  <si>
    <t xml:space="preserve">3.2.12</t>
  </si>
  <si>
    <t xml:space="preserve">already counted at 2.12</t>
  </si>
  <si>
    <t xml:space="preserve">3.2.13</t>
  </si>
  <si>
    <t xml:space="preserve">IT </t>
  </si>
  <si>
    <t xml:space="preserve">Daniela Hadasch, Jordi Delgado, Takayuki Saito</t>
  </si>
  <si>
    <t xml:space="preserve">3.2.14</t>
  </si>
  <si>
    <t xml:space="preserve">already counted at 2.13</t>
  </si>
  <si>
    <t xml:space="preserve">3.2.15</t>
  </si>
  <si>
    <t xml:space="preserve">already counted at 2.14</t>
  </si>
  <si>
    <t xml:space="preserve">3.2.16</t>
  </si>
  <si>
    <t xml:space="preserve">already counted at 2.15</t>
  </si>
  <si>
    <t xml:space="preserve">3.2.17</t>
  </si>
  <si>
    <t xml:space="preserve">already counted at 2.16</t>
  </si>
  <si>
    <t xml:space="preserve">3.2.18</t>
  </si>
  <si>
    <t xml:space="preserve">Interfaces</t>
  </si>
  <si>
    <t xml:space="preserve">Javier Herrera (IAC), Vitalii Sliussar (ACADA), Abelardo Moralejo (DPPS), Masahiro Teshima (MAGIC), Patricia Marquez (Infra)</t>
  </si>
  <si>
    <t xml:space="preserve">3.3</t>
  </si>
  <si>
    <t xml:space="preserve">Systems Engineering board</t>
  </si>
  <si>
    <t xml:space="preserve">Domenico, Franjo, Martin, Franca</t>
  </si>
  <si>
    <t xml:space="preserve">3.4</t>
  </si>
  <si>
    <t xml:space="preserve">Technical Board</t>
  </si>
  <si>
    <t xml:space="preserve">Alice Donini, Alessio Berti, Daniel Mazin, Seiya, Mimmo (Oscar ex-officio)</t>
  </si>
  <si>
    <t xml:space="preserve">3.5</t>
  </si>
  <si>
    <t xml:space="preserve">Extended Safety Board</t>
  </si>
  <si>
    <t xml:space="preserve">Safety Contact People</t>
  </si>
  <si>
    <t xml:space="preserve">https://outlook.office.com/people/group/cta-observatory.org/lst-safety</t>
  </si>
  <si>
    <t xml:space="preserve">3.6</t>
  </si>
  <si>
    <t xml:space="preserve">SAPO</t>
  </si>
  <si>
    <t xml:space="preserve">Takeshi Nakamori</t>
  </si>
  <si>
    <t xml:space="preserve">3.7</t>
  </si>
  <si>
    <t xml:space="preserve">TAC</t>
  </si>
  <si>
    <t xml:space="preserve">4</t>
  </si>
  <si>
    <t xml:space="preserve">Operation </t>
  </si>
  <si>
    <t xml:space="preserve">4.1</t>
  </si>
  <si>
    <t xml:space="preserve">Operation of Telescopes</t>
  </si>
  <si>
    <t xml:space="preserve">4.1.1</t>
  </si>
  <si>
    <t xml:space="preserve">Operation Specialist</t>
  </si>
  <si>
    <t xml:space="preserve">Rosamaria, Viki</t>
  </si>
  <si>
    <t xml:space="preserve">4.1.2</t>
  </si>
  <si>
    <t xml:space="preserve">Data Taking Shifts</t>
  </si>
  <si>
    <t xml:space="preserve">Jose Miguel Miranda Pantoja (2024, 1), Arnau Aguasca-Cabot (2024, 1), Luis del Peral (2024, 1), María Dolores Rodríguez Frías (2024, 1), Gaia Verna (2024, 1), Alessandro Vigliano (2024, 1), Mirko Bunse (2024, 1), Takuto Kiyomoto (2024, 1), Jelena Strišković (2024, 1), Claudio Gasbarra (2024, 1), Leo Lemoigne (2024, 1), Francesco Schiavone (2024, 1), Jelena Strišković (2024, 1), Dario Hrupec (2024, 1), Daniele Ambrosino (2024, 1), Antonio Tutone (2024, 1), Jakub Jurysek (2024, 1), Takumi Itokawa (2024, 1), Mireia Nievas (2024, 1), Enrique Mestre (2024, 1), Wei Zhang (2024, 1), Marcel Strzys (2024, 1), Laura Eisenberger (2024, 1), Volodymyr Savchenko (2024, 1), Mykhailo Dalchenko (2024, 1), Miguel Molero (2024, 1), Vadym Voitsekhovskyi (2024, 1), Giulia Brunelli (2024, 1), Toni Šarić (2024, 1), Victor Moya (2024, 1), Felix Pfeifle (2024, 1), Ryo Imazawa (2024, 1), Franjo Podobnik (2024, 1), Maximilian Linhoff (2024, 1), Antonio Iuliano (2024, 1), Lisa Nikolic (2024, 1), Giorgio Pirola (2024, 1), Martin Makariev (2024, 1), Serena Loporchio (2024, 1), Joao Paiva (2024, 1), Vincenzo Vitale (2024, 1), Kazuki Abe (2024, 0.5), Junko Kushida (2024, 0.5), Paul Kin Hang Yeung (2024, 0.5), Takanori Yoshikoshi (2024, 0.5), Gloria Maria Cicciari (2024, 1), Alessandro Carosi (2025, 1), Ilaria Viale (2025, 1), Arshia Ruina (2025, 1), Cristian Pozo (2025, 1), Missing SL (2025, 1), Wei Zhang (2025, 1), Lukas Biaske (2025, 1), Tjark Miener (2025, 1), Gaia Verna (2025, 1), Lisa Nikolić (2025, 1), Marcel Vorbrugg (2025, 1), Grzegorz Borkowski (2025, 0.5), Joanna Wójtowicz (2025, 0.5), Takeishi Ryujji (2025, 1), Felix Pfeifle (2025, 1), Ali Baktash (2025, 1), Paula Kornecki (2025, 1), Edgar Molina (2025, 1), Mario Pecimotika (2025, 1), Abhradeep Roy (2025, 1), Abhishek Abhishek (2025, 1), Miguel Molero (2025, 1), Jakub Jurysek (2025, 1), Karlo Mrakovčić (2025, 1), Tora T.H. Arnesen (2025, 1), Vincenzo Vitale (2025, 1), Volodymir Savchenko (2025, 1), Gaia De Palma (2025, 1), Marine Pihet (2025, 1), Kazuki Abe (2025, 1), Jelena Strišković (2025, 1), Alan Sunny (2025, 1), Michiko Ohishi (2025, 0.5), Shotaro Abe (2025, 0.5), Livia Rocha (2025, 1), Davide Miceli (2025, 1), Georgios Voutsinas (2025, 1), Yi Yao (2025, 1), Tristan Gradetzke (2025, 1), Victor Moya (2025, 1), Ivana Batković (2025, 1), Ricardo Di Tria (2025, 1), Joshua Baxter (2025, 0.5), Tomonobu Tomura (2025, 0.5), Mitsunari Takahashi (2025, 1), Joao Paiva (2025, 1), Giuseppe Silvestri (2025, 1), Jahanvi Jahanvi (2025, 1)</t>
  </si>
  <si>
    <t xml:space="preserve">4.2</t>
  </si>
  <si>
    <t xml:space="preserve">Daily Check Coordination</t>
  </si>
  <si>
    <t xml:space="preserve">4.2.1</t>
  </si>
  <si>
    <t xml:space="preserve">Coordination</t>
  </si>
  <si>
    <t xml:space="preserve">Tokonatsu Yamamoto</t>
  </si>
  <si>
    <t xml:space="preserve">4.2.2</t>
  </si>
  <si>
    <t xml:space="preserve">Tool Developer</t>
  </si>
  <si>
    <t xml:space="preserve">Reiko Orito</t>
  </si>
  <si>
    <t xml:space="preserve">4.2.3</t>
  </si>
  <si>
    <t xml:space="preserve">Shifts</t>
  </si>
  <si>
    <t xml:space="preserve">Mika Kagaya (2024, 1), Hiroshi Muraishi (2024, 1), Marina Manganaro (2024, 1), Alan Sunny (2024, 1), Saverio Lombardi (2025, 1), Abhishek Abhishek (2025, 1), Dario Gasparrini (2025, 1), Davide Cerasole (2025, 1), Lorenzo Feligioni (2025, 1), Saverio Lombardi (2026, 1)</t>
  </si>
  <si>
    <t xml:space="preserve">4.3</t>
  </si>
  <si>
    <t xml:space="preserve">Schedulers</t>
  </si>
  <si>
    <t xml:space="preserve">Jakub Jurysek, Antonio Tutone, Luca Foffano, Leonardo Di Venere</t>
  </si>
  <si>
    <t xml:space="preserve">4.4</t>
  </si>
  <si>
    <t xml:space="preserve">Real Time Analysis</t>
  </si>
  <si>
    <t xml:space="preserve">Sami, Vincent, Pierre Aubert, Andrea Bulgarelli, Nicolò Parmiggiani, Ambra Di Piano, Gabriele Panebianco</t>
  </si>
  <si>
    <t xml:space="preserve">4.5</t>
  </si>
  <si>
    <t xml:space="preserve">Onsite Analysis</t>
  </si>
  <si>
    <t xml:space="preserve">Jose´ Luis Contreras, María Lainez, Nuria Álvarez, Noelia Castrejón, Julio Lozano </t>
  </si>
  <si>
    <t xml:space="preserve">Cerviño Cortínez ?
Baquero Larriva ?
Nuria and noelia not a member anymore</t>
  </si>
  <si>
    <t xml:space="preserve">4.6</t>
  </si>
  <si>
    <t xml:space="preserve">IT</t>
  </si>
  <si>
    <t xml:space="preserve">4.6.1</t>
  </si>
  <si>
    <t xml:space="preserve">Onsite Center</t>
  </si>
  <si>
    <t xml:space="preserve">Marcel, Yukiho, Ievgen, Daniel, Michele, Axel, Tomonobu Tomura</t>
  </si>
  <si>
    <t xml:space="preserve">4.6.2</t>
  </si>
  <si>
    <t xml:space="preserve">Commissioning Container</t>
  </si>
  <si>
    <t xml:space="preserve">4.6.3</t>
  </si>
  <si>
    <t xml:space="preserve">LST Network</t>
  </si>
  <si>
    <t xml:space="preserve">Vitalii Sliusar (helper)</t>
  </si>
  <si>
    <t xml:space="preserve">4.6.4</t>
  </si>
  <si>
    <t xml:space="preserve">Offsite data centers</t>
  </si>
  <si>
    <t xml:space="preserve">Jordi, Federico, Volodymyr</t>
  </si>
  <si>
    <t xml:space="preserve">4.7</t>
  </si>
  <si>
    <t xml:space="preserve">Burst Advocates</t>
  </si>
  <si>
    <t xml:space="preserve">2 per month (second volunteer), 1 duty = 2 months in a year</t>
  </si>
  <si>
    <t xml:space="preserve">https://docs.google.com/spreadsheets/d/1ms2oEZjLiajTPHWiXO35cvQ0qORz6xLTHCUwrVX4LA4/edit?usp=sharing</t>
  </si>
  <si>
    <t xml:space="preserve">4.8</t>
  </si>
  <si>
    <t xml:space="preserve">Fast offline analysis duty</t>
  </si>
  <si>
    <t xml:space="preserve">2 per month, 1 duty = 2 months in a year</t>
  </si>
  <si>
    <t xml:space="preserve">https://www.lst1.iac.es/operations/foa/index.html.   [format: name surname (year, number of duties)]: Javier Méndez-Gallego (2024, 1), Sweta Menon (2024, 1), Lea Heckmann (2024, 1), Irene Jimenez Martinez (2024, 1), Juan Bernete (2024, 1), Roger Grau (2024, 1), Ryuji Takeishi (2024, 1), Helena Luciani (2024, 1), Yusuke Suda (2024, 0.5), Joshua Baxter (2024, 0.5), Tora Therese Høiland Arnesen (2024, 0.5), Thomas Tavernier (2024, 0.5), Joshua Baxter (2025, 0.5), Tora Therese Høiland Arnesen (2025, 0.5), Thomas Tavernier (2025, 0.5), Cyann Plard (2025, 1), Guillaume Grolleron (2025, 1), Sweta Menon (2025, 1), Yusuke Suda (2025, 1.5), Mathilde Croisonnier (2025, 1), Helena Luciani (2025, 1), Hideaki Katagiri (2025, 1), Alan Sunny (2025, 1), Ryuji Takeishi (2025, 1)</t>
  </si>
  <si>
    <t xml:space="preserve">5</t>
  </si>
  <si>
    <t xml:space="preserve">Maintenance Hardware</t>
  </si>
  <si>
    <t xml:space="preserve">5.1</t>
  </si>
  <si>
    <t xml:space="preserve">Site</t>
  </si>
  <si>
    <t xml:space="preserve">5.1.1</t>
  </si>
  <si>
    <t xml:space="preserve">IT container</t>
  </si>
  <si>
    <t xml:space="preserve">onsite team</t>
  </si>
  <si>
    <t xml:space="preserve">5.1.2</t>
  </si>
  <si>
    <t xml:space="preserve">IT in CC container</t>
  </si>
  <si>
    <t xml:space="preserve">5.1.3</t>
  </si>
  <si>
    <t xml:space="preserve">Webcams</t>
  </si>
  <si>
    <t xml:space="preserve">5.1.4</t>
  </si>
  <si>
    <t xml:space="preserve">Weather station</t>
  </si>
  <si>
    <t xml:space="preserve">5.1.5</t>
  </si>
  <si>
    <t xml:space="preserve">Network LST</t>
  </si>
  <si>
    <t xml:space="preserve">5.2</t>
  </si>
  <si>
    <t xml:space="preserve">Mechanics</t>
  </si>
  <si>
    <t xml:space="preserve">5.2.1</t>
  </si>
  <si>
    <t xml:space="preserve">Rail, Bogies, ALS</t>
  </si>
  <si>
    <t xml:space="preserve">Rafa, Juli</t>
  </si>
  <si>
    <t xml:space="preserve">5.2.2</t>
  </si>
  <si>
    <t xml:space="preserve">Elevation Drive, ELS</t>
  </si>
  <si>
    <t xml:space="preserve">Holger, Robert</t>
  </si>
  <si>
    <t xml:space="preserve">5.2.3</t>
  </si>
  <si>
    <t xml:space="preserve">Lower structure &amp; Dish</t>
  </si>
  <si>
    <t xml:space="preserve">Holger</t>
  </si>
  <si>
    <t xml:space="preserve">5.2.4</t>
  </si>
  <si>
    <t xml:space="preserve">Stair cases, cat walks, lifelines</t>
  </si>
  <si>
    <t xml:space="preserve">Christopher</t>
  </si>
  <si>
    <t xml:space="preserve">5.2.5</t>
  </si>
  <si>
    <t xml:space="preserve">CSS &amp; CSS cables</t>
  </si>
  <si>
    <t xml:space="preserve">Guillaume, Nicolas</t>
  </si>
  <si>
    <t xml:space="preserve">5.2.6</t>
  </si>
  <si>
    <t xml:space="preserve">CSS locking</t>
  </si>
  <si>
    <t xml:space="preserve">Holger, Robert, Jens</t>
  </si>
  <si>
    <t xml:space="preserve">5.2.7</t>
  </si>
  <si>
    <t xml:space="preserve">Camera Access Tower, Tower Platform Drive</t>
  </si>
  <si>
    <t xml:space="preserve">5.3</t>
  </si>
  <si>
    <t xml:space="preserve">Camera</t>
  </si>
  <si>
    <t xml:space="preserve">5.3.1</t>
  </si>
  <si>
    <t xml:space="preserve">Mechanics Structure, including scaffolding</t>
  </si>
  <si>
    <t xml:space="preserve">Miguel Polo, Carlos Diaz </t>
  </si>
  <si>
    <t xml:space="preserve">5.3.2</t>
  </si>
  <si>
    <t xml:space="preserve">Auxiliary and Power</t>
  </si>
  <si>
    <t xml:space="preserve">Armand Fiasson (2023), Manel Martinez (January 2024)</t>
  </si>
  <si>
    <t xml:space="preserve">5.3.3</t>
  </si>
  <si>
    <t xml:space="preserve">ECC</t>
  </si>
  <si>
    <t xml:space="preserve">Armand Fiasson (2023) </t>
  </si>
  <si>
    <t xml:space="preserve">5.3.4</t>
  </si>
  <si>
    <t xml:space="preserve">Modules and Signal Processing</t>
  </si>
  <si>
    <t xml:space="preserve">Takayuki Saito, Oscar Blanch (2020)</t>
  </si>
  <si>
    <t xml:space="preserve">5.3.5</t>
  </si>
  <si>
    <t xml:space="preserve">Backplane Network</t>
  </si>
  <si>
    <t xml:space="preserve">Gustavo Martinez, Iñigo Jorge Rodrigo</t>
  </si>
  <si>
    <t xml:space="preserve">5.3.6</t>
  </si>
  <si>
    <t xml:space="preserve">Clock (WRS, GPS)</t>
  </si>
  <si>
    <t xml:space="preserve">Juan Abel (2019), Luis Angel (2019)</t>
  </si>
  <si>
    <t xml:space="preserve">5.3.7</t>
  </si>
  <si>
    <t xml:space="preserve">TIB/UCTS</t>
  </si>
  <si>
    <t xml:space="preserve">Alejandro Perez (2019)</t>
  </si>
  <si>
    <t xml:space="preserve">5.3.8</t>
  </si>
  <si>
    <t xml:space="preserve">Container on CAT and Mirca Testroom</t>
  </si>
  <si>
    <t xml:space="preserve">Mitsunari Takahashi</t>
  </si>
  <si>
    <t xml:space="preserve">5.3.9</t>
  </si>
  <si>
    <t xml:space="preserve">Calibration Box</t>
  </si>
  <si>
    <t xml:space="preserve">Maurizio Iori, Fabio Ferrarotto</t>
  </si>
  <si>
    <t xml:space="preserve">5.3.10</t>
  </si>
  <si>
    <t xml:space="preserve">Data tranmission system (cables, fibers, switches)</t>
  </si>
  <si>
    <t xml:space="preserve">Making sure that the all data from camera are transfered within the expected speed and the expected loss. The task includes the validation of fiber transmission, Switch network setting, SFP transeivers.</t>
  </si>
  <si>
    <t xml:space="preserve">Yukiho Kobayashi</t>
  </si>
  <si>
    <t xml:space="preserve">5.3.11</t>
  </si>
  <si>
    <t xml:space="preserve">PMT Gain/QE monitoring and calibrations</t>
  </si>
  <si>
    <t xml:space="preserve">Taking care of flatfielding of PMT gains. QE and gain degradation should be monitored using the daily FF events. When needed, new flatfielding run should be proposed</t>
  </si>
  <si>
    <t xml:space="preserve">Shunsuke Sakurai</t>
  </si>
  <si>
    <t xml:space="preserve">5.3.12</t>
  </si>
  <si>
    <t xml:space="preserve">Trigger threshold/rate monitoring and calibrations</t>
  </si>
  <si>
    <t xml:space="preserve">Taking care of the Delay and Time calibration for the trigger, and keeping an eye on rates, and checking with IPR scans from time to time.</t>
  </si>
  <si>
    <t xml:space="preserve">Mario Pecimotika (June 2024), Ivana Batkovic (June 2024)</t>
  </si>
  <si>
    <t xml:space="preserve">5.4</t>
  </si>
  <si>
    <t xml:space="preserve">Optics</t>
  </si>
  <si>
    <t xml:space="preserve">5.4.1</t>
  </si>
  <si>
    <t xml:space="preserve">Mirrors</t>
  </si>
  <si>
    <t xml:space="preserve">Bookkeeping mirrors, reflectivity monitor</t>
  </si>
  <si>
    <t xml:space="preserve">Dusan, Yoshida</t>
  </si>
  <si>
    <t xml:space="preserve">5.4.2</t>
  </si>
  <si>
    <t xml:space="preserve">Actuators</t>
  </si>
  <si>
    <t xml:space="preserve">one more for actuator bookkeeping is needed </t>
  </si>
  <si>
    <t xml:space="preserve">Alessio Berti</t>
  </si>
  <si>
    <t xml:space="preserve">5.4.3</t>
  </si>
  <si>
    <t xml:space="preserve">AMC boxes and cabling</t>
  </si>
  <si>
    <t xml:space="preserve">Toni Dettlaff</t>
  </si>
  <si>
    <t xml:space="preserve">5.4.4</t>
  </si>
  <si>
    <t xml:space="preserve">CMOS cameras</t>
  </si>
  <si>
    <t xml:space="preserve">Lad'a, Mira</t>
  </si>
  <si>
    <t xml:space="preserve">5.4.5</t>
  </si>
  <si>
    <t xml:space="preserve">PSF camera</t>
  </si>
  <si>
    <t xml:space="preserve">5.5</t>
  </si>
  <si>
    <t xml:space="preserve">Auxiliary</t>
  </si>
  <si>
    <t xml:space="preserve">5.5.1</t>
  </si>
  <si>
    <t xml:space="preserve">Drive</t>
  </si>
  <si>
    <t xml:space="preserve">Inocencio</t>
  </si>
  <si>
    <t xml:space="preserve">5.5.2</t>
  </si>
  <si>
    <t xml:space="preserve">CSS cable monitoring</t>
  </si>
  <si>
    <t xml:space="preserve">visual check</t>
  </si>
  <si>
    <t xml:space="preserve">5.5.3</t>
  </si>
  <si>
    <t xml:space="preserve">Structure Monitoring</t>
  </si>
  <si>
    <t xml:space="preserve">Needs urgent maintenance. Need names</t>
  </si>
  <si>
    <t xml:space="preserve">Wuerzburg</t>
  </si>
  <si>
    <t xml:space="preserve">5.5.4</t>
  </si>
  <si>
    <t xml:space="preserve">CDM, Starguider, OARL and Distance Meters</t>
  </si>
  <si>
    <t xml:space="preserve">No regular maintenance seen</t>
  </si>
  <si>
    <t xml:space="preserve">5.5.5</t>
  </si>
  <si>
    <t xml:space="preserve">Energy Storage Container</t>
  </si>
  <si>
    <t xml:space="preserve">PLCs, interlock</t>
  </si>
  <si>
    <t xml:space="preserve">Koji</t>
  </si>
  <si>
    <t xml:space="preserve">5.5.6</t>
  </si>
  <si>
    <t xml:space="preserve">Cabling, LV system</t>
  </si>
  <si>
    <t xml:space="preserve">Partially covered by a company</t>
  </si>
  <si>
    <t xml:space="preserve">5.5.7</t>
  </si>
  <si>
    <t xml:space="preserve">Interlock Sensors</t>
  </si>
  <si>
    <t xml:space="preserve">6</t>
  </si>
  <si>
    <t xml:space="preserve">Maintenance Software</t>
  </si>
  <si>
    <t xml:space="preserve">Increase everywehre to 2 per "software" for redundancy and passing know-how?</t>
  </si>
  <si>
    <t xml:space="preserve">6.1</t>
  </si>
  <si>
    <t xml:space="preserve">Common Elements</t>
  </si>
  <si>
    <t xml:space="preserve">6.1.1</t>
  </si>
  <si>
    <t xml:space="preserve">Jarred</t>
  </si>
  <si>
    <t xml:space="preserve">6.1.2</t>
  </si>
  <si>
    <t xml:space="preserve">Alice</t>
  </si>
  <si>
    <t xml:space="preserve">6.1.3</t>
  </si>
  <si>
    <t xml:space="preserve">Webservers</t>
  </si>
  <si>
    <t xml:space="preserve">Michiko, Vitalii</t>
  </si>
  <si>
    <t xml:space="preserve">6.1.4</t>
  </si>
  <si>
    <t xml:space="preserve">ACS Bridges</t>
  </si>
  <si>
    <t xml:space="preserve">Jean-Luc, Grzegorz</t>
  </si>
  <si>
    <t xml:space="preserve">6.1.5</t>
  </si>
  <si>
    <t xml:space="preserve">MOS</t>
  </si>
  <si>
    <t xml:space="preserve">Jean-Luc</t>
  </si>
  <si>
    <t xml:space="preserve">6.1.6</t>
  </si>
  <si>
    <t xml:space="preserve">Data broker</t>
  </si>
  <si>
    <t xml:space="preserve">6.1.7</t>
  </si>
  <si>
    <t xml:space="preserve">Data broker visualisation</t>
  </si>
  <si>
    <t xml:space="preserve">6.1.8</t>
  </si>
  <si>
    <t xml:space="preserve">6.1.9</t>
  </si>
  <si>
    <t xml:space="preserve">Transient Handler incl. Tilepy</t>
  </si>
  <si>
    <t xml:space="preserve">Alessio, Monica, Gloriamaria</t>
  </si>
  <si>
    <t xml:space="preserve">6.2</t>
  </si>
  <si>
    <t xml:space="preserve">Central Control</t>
  </si>
  <si>
    <t xml:space="preserve">6.2.1</t>
  </si>
  <si>
    <t xml:space="preserve">TCU &amp; eGui</t>
  </si>
  <si>
    <t xml:space="preserve">Ievgen, Vitalii</t>
  </si>
  <si>
    <t xml:space="preserve">6.2.2</t>
  </si>
  <si>
    <t xml:space="preserve">Telescope Monitoring SW</t>
  </si>
  <si>
    <t xml:space="preserve">Mykhailo Dalchenko</t>
  </si>
  <si>
    <t xml:space="preserve">6.3</t>
  </si>
  <si>
    <t xml:space="preserve">6.3.1</t>
  </si>
  <si>
    <t xml:space="preserve">CaCo and CIC</t>
  </si>
  <si>
    <t xml:space="preserve">Juan Jimenez (2023), Daniel Kerszberg (2019)</t>
  </si>
  <si>
    <t xml:space="preserve">6.3.2</t>
  </si>
  <si>
    <t xml:space="preserve">Armand Fiasson, Jean-Luc Panazol</t>
  </si>
  <si>
    <t xml:space="preserve">6.3.3</t>
  </si>
  <si>
    <t xml:space="preserve">Alejandro Perez, María Molina</t>
  </si>
  <si>
    <t xml:space="preserve">6.3.4</t>
  </si>
  <si>
    <t xml:space="preserve">ClusCo</t>
  </si>
  <si>
    <t xml:space="preserve">Daniel Mazin</t>
  </si>
  <si>
    <t xml:space="preserve">6.3.5</t>
  </si>
  <si>
    <t xml:space="preserve">EVB</t>
  </si>
  <si>
    <t xml:space="preserve">Dirk Hoffmann, Julien Houles</t>
  </si>
  <si>
    <t xml:space="preserve">6.3.6</t>
  </si>
  <si>
    <t xml:space="preserve">Calibox</t>
  </si>
  <si>
    <t xml:space="preserve">Isabella Sofia, Carlo Vigorito</t>
  </si>
  <si>
    <t xml:space="preserve">6.3.7</t>
  </si>
  <si>
    <t xml:space="preserve">Software package management</t>
  </si>
  <si>
    <t xml:space="preserve">Carlos Delgado</t>
  </si>
  <si>
    <t xml:space="preserve">6.3.8</t>
  </si>
  <si>
    <t xml:space="preserve">Debug Help</t>
  </si>
  <si>
    <t xml:space="preserve">When an unexpeted behavior of the camera is found (e.g., non-uniformity of trigger rate among pixels, seasonal variation of pulse position) the cause</t>
  </si>
  <si>
    <t xml:space="preserve">Abhradeep</t>
  </si>
  <si>
    <t xml:space="preserve">6.4</t>
  </si>
  <si>
    <t xml:space="preserve">6.4.1</t>
  </si>
  <si>
    <t xml:space="preserve">AMC master SW</t>
  </si>
  <si>
    <t xml:space="preserve">Ievgen, Yating, Martin Makariev</t>
  </si>
  <si>
    <t xml:space="preserve">6.4.2</t>
  </si>
  <si>
    <t xml:space="preserve">AMC slave SW incl. CMOS</t>
  </si>
  <si>
    <t xml:space="preserve">Lad'a</t>
  </si>
  <si>
    <t xml:space="preserve">6.5</t>
  </si>
  <si>
    <t xml:space="preserve">6.5.1</t>
  </si>
  <si>
    <t xml:space="preserve">Bending Model</t>
  </si>
  <si>
    <t xml:space="preserve">David</t>
  </si>
  <si>
    <t xml:space="preserve">6.5.2</t>
  </si>
  <si>
    <t xml:space="preserve">Drive Control</t>
  </si>
  <si>
    <t xml:space="preserve">Armand</t>
  </si>
  <si>
    <t xml:space="preserve">6.5.3</t>
  </si>
  <si>
    <t xml:space="preserve">Drive Expert and Semi-Expert GUI</t>
  </si>
  <si>
    <t xml:space="preserve">Jean-Luc, Antonio</t>
  </si>
  <si>
    <t xml:space="preserve">6.6</t>
  </si>
  <si>
    <t xml:space="preserve">6.6.1</t>
  </si>
  <si>
    <t xml:space="preserve">Energy Storage / ATS</t>
  </si>
  <si>
    <t xml:space="preserve">Koji, Tomonubu Tomura</t>
  </si>
  <si>
    <t xml:space="preserve">6.6.2</t>
  </si>
  <si>
    <t xml:space="preserve">StarGuider</t>
  </si>
  <si>
    <t xml:space="preserve">Toni, Riccardo</t>
  </si>
  <si>
    <t xml:space="preserve">6.6.3</t>
  </si>
  <si>
    <t xml:space="preserve">CDM </t>
  </si>
  <si>
    <t xml:space="preserve">6.6.4</t>
  </si>
  <si>
    <t xml:space="preserve">OARL and Distance Meters</t>
  </si>
  <si>
    <t xml:space="preserve">6.6.5</t>
  </si>
  <si>
    <t xml:space="preserve">Auxiliary Semi Expert GUI (CDM, CAT, ALS, ELS, Relays)</t>
  </si>
  <si>
    <t xml:space="preserve">6.7</t>
  </si>
  <si>
    <t xml:space="preserve">Analysis Software</t>
  </si>
  <si>
    <t xml:space="preserve">6.7.1</t>
  </si>
  <si>
    <t xml:space="preserve">Monte Carlo</t>
  </si>
  <si>
    <t xml:space="preserve">MC production for LST1 analysis (&amp; MAGIC+LST1)</t>
  </si>
  <si>
    <t xml:space="preserve">Yorgos Voutsinas, Thomas Vuillaume</t>
  </si>
  <si>
    <t xml:space="preserve">6.7.3</t>
  </si>
  <si>
    <t xml:space="preserve">LST-MAGIC common data analysis chain</t>
  </si>
  <si>
    <t xml:space="preserve">Development and maintenance of magic-ctapipe, associated MC simulations for MAGIC+LST1 analysis </t>
  </si>
  <si>
    <t xml:space="preserve">Julian, Alessio, Elisa Visentin, Federico di Pierro, Raniere de Menezes</t>
  </si>
  <si>
    <t xml:space="preserve">6.7.7</t>
  </si>
  <si>
    <t xml:space="preserve">Correction for atmospheric transmission (LST1+MAGIC)</t>
  </si>
  <si>
    <t xml:space="preserve">Correction for atmospheric transmission using proton-LIDAR-like approach (hence requiring stereo reco)</t>
  </si>
  <si>
    <t xml:space="preserve">Natalia Zywucka-Hejzner</t>
  </si>
  <si>
    <t xml:space="preserve">6.7.4</t>
  </si>
  <si>
    <t xml:space="preserve">General lstchain support</t>
  </si>
  <si>
    <t xml:space="preserve">Development and maintenance of the raw data reader, support with ctapipe and other dependencies, general software development</t>
  </si>
  <si>
    <t xml:space="preserve">Max Linhoff</t>
  </si>
  <si>
    <t xml:space="preserve">6.7.5</t>
  </si>
  <si>
    <t xml:space="preserve">Likelihood analysis</t>
  </si>
  <si>
    <t xml:space="preserve">Development and maintenance of the likelihood analysis, lhfit</t>
  </si>
  <si>
    <t xml:space="preserve">Gabriel Emery</t>
  </si>
  <si>
    <t xml:space="preserve">6.7.6</t>
  </si>
  <si>
    <t xml:space="preserve">DL0 converter</t>
  </si>
  <si>
    <t xml:space="preserve">Development of a converter from existing LST1 raw data (R0/G/V) to CTAO's DL0, for long-term storage (and compatibility with CTAO-DPPS software)</t>
  </si>
  <si>
    <t xml:space="preserve">Tjark Miener, Bastien Lacave, Pablo Guzmán</t>
  </si>
  <si>
    <t xml:space="preserve">6.7.8</t>
  </si>
  <si>
    <t xml:space="preserve">Extended analysis</t>
  </si>
  <si>
    <t xml:space="preserve">Analysis of extended sources &amp; complex FoVs</t>
  </si>
  <si>
    <t xml:space="preserve">Shotaro Abe</t>
  </si>
  <si>
    <t xml:space="preserve">6.7.9</t>
  </si>
  <si>
    <t xml:space="preserve">Off-axis performance</t>
  </si>
  <si>
    <t xml:space="preserve">Evaluation of off-axis performance (MC &amp; Crab-based)</t>
  </si>
  <si>
    <t xml:space="preserve">Mathieu de Bony</t>
  </si>
  <si>
    <t xml:space="preserve">6.7.10</t>
  </si>
  <si>
    <t xml:space="preserve">Standard DL3 production</t>
  </si>
  <si>
    <t xml:space="preserve">Production of DL3 from the standard DL2 files</t>
  </si>
  <si>
    <t xml:space="preserve">Edna Ruiz-Velasco</t>
  </si>
  <si>
    <t xml:space="preserve">6.8</t>
  </si>
  <si>
    <t xml:space="preserve">Calibrations</t>
  </si>
  <si>
    <t xml:space="preserve">6.8.1</t>
  </si>
  <si>
    <t xml:space="preserve">Camera calibration</t>
  </si>
  <si>
    <t xml:space="preserve">Franca Cassol, Seiya Nozaki</t>
  </si>
  <si>
    <t xml:space="preserve">6.8.2</t>
  </si>
  <si>
    <t xml:space="preserve">Pointing Calibration</t>
  </si>
  <si>
    <t xml:space="preserve">Uncertain</t>
  </si>
  <si>
    <t xml:space="preserve">Misha Dalchenko</t>
  </si>
  <si>
    <t xml:space="preserve">7</t>
  </si>
  <si>
    <t xml:space="preserve">R&amp;D</t>
  </si>
  <si>
    <t xml:space="preserve">7.1</t>
  </si>
  <si>
    <t xml:space="preserve">Advanced Camera</t>
  </si>
  <si>
    <t xml:space="preserve">7.1.1</t>
  </si>
  <si>
    <t xml:space="preserve">Analysis and simulations</t>
  </si>
  <si>
    <t xml:space="preserve">Reniere de Menezes, Tjark Miener, Leonid Burmistrov</t>
  </si>
  <si>
    <t xml:space="preserve">7.1.2</t>
  </si>
  <si>
    <t xml:space="preserve">Front-end Board design</t>
  </si>
  <si>
    <t xml:space="preserve">Javier Sastre, Filippo Marini</t>
  </si>
  <si>
    <t xml:space="preserve">7.1.3</t>
  </si>
  <si>
    <t xml:space="preserve">Advanced trigger development</t>
  </si>
  <si>
    <t xml:space="preserve">Maria Molina, Jorge Buces</t>
  </si>
  <si>
    <t xml:space="preserve">7.1.4</t>
  </si>
  <si>
    <t xml:space="preserve">DAQ SW development</t>
  </si>
  <si>
    <t xml:space="preserve">7.1.5</t>
  </si>
  <si>
    <t xml:space="preserve">Integration tests</t>
  </si>
  <si>
    <t xml:space="preserve">Akira, Taka</t>
  </si>
  <si>
    <t xml:space="preserve">7.2</t>
  </si>
  <si>
    <t xml:space="preserve">Interferometry</t>
  </si>
  <si>
    <t xml:space="preserve">8</t>
  </si>
  <si>
    <t xml:space="preserve">LST2-4 construction</t>
  </si>
  <si>
    <t xml:space="preserve">8.1</t>
  </si>
  <si>
    <t xml:space="preserve">Management / SE</t>
  </si>
  <si>
    <t xml:space="preserve">2 coordinators</t>
  </si>
  <si>
    <t xml:space="preserve">Oscar Blanch (2024, 1)</t>
  </si>
  <si>
    <t xml:space="preserve">8.2</t>
  </si>
  <si>
    <t xml:space="preserve">8.3</t>
  </si>
  <si>
    <t xml:space="preserve">KN: max 2 x3 tels for mirror installation (counted as a duty for one year). More (1-2?) for IF plate assmebly work in 2024. 
update on 1 May: 6 shifters for the installation, 2-3 for IF plate, 3 for mirror production and QC </t>
  </si>
  <si>
    <t xml:space="preserve">Stefan Fröse, Tristan Gradetzke, Lukas Beiske, Luca Di Bella, Jonas Hackfeld, Masaki Hashizume, Fabio Acero, Aldo Morselli, Gonzalo Fernandez, Luis Jimenez, Vladimir Novotny</t>
  </si>
  <si>
    <t xml:space="preserve">8.4</t>
  </si>
  <si>
    <t xml:space="preserve">6 for 3  cameras</t>
  </si>
  <si>
    <t xml:space="preserve">8.5</t>
  </si>
  <si>
    <t xml:space="preserve">8.6</t>
  </si>
  <si>
    <t xml:space="preserve">Software</t>
  </si>
  <si>
    <t xml:space="preserve">9</t>
  </si>
  <si>
    <t xml:space="preserve">LST South</t>
  </si>
  <si>
    <t xml:space="preserve">9.1</t>
  </si>
  <si>
    <t xml:space="preserve">Foundation</t>
  </si>
  <si>
    <t xml:space="preserve">Florin Goia</t>
  </si>
  <si>
    <t xml:space="preserve">9.2</t>
  </si>
  <si>
    <t xml:space="preserve">Structure</t>
  </si>
  <si>
    <t xml:space="preserve">Angelo Antonelli, Andrea Busatta, Massimiliano Mattioli, Francesco Perrotta, Christian Eredia, Enrico Cascone, Marco Mastrofini, Francesco Dazzi, Vito Conforti</t>
  </si>
  <si>
    <t xml:space="preserve">9.3</t>
  </si>
  <si>
    <t xml:space="preserve">Optics South</t>
  </si>
  <si>
    <t xml:space="preserve">Giovanni Pareschi, Laura Proserpio, Giorgia Sironi, Cyril Alispach</t>
  </si>
  <si>
    <t xml:space="preserve">9.4</t>
  </si>
  <si>
    <t xml:space="preserve">Camera South</t>
  </si>
  <si>
    <t xml:space="preserve">Riccardo Paoletti, Leonardo Orsini, Pietro Ottanelli, Nicola Giglietto, Francesco Giordano, Elisabetta Bissaldi, Serena Loporchio, Leonardo Di Venere, Silvia Rainò, Riccardo Di Tria, Francesco Schiavone, Davide Cerasole, Carla Aramo, Riccardo Del Burgo,  Maurizio Massa, Fabio Tramonti, Abhishek, Giovanni Marsella, Manuela Mallamaci, Mario Buscemi, Giovanna Tripodo,  Renato Iaria, Cornelia Arcaro</t>
  </si>
  <si>
    <t xml:space="preserve">buscemi left collaboration</t>
  </si>
  <si>
    <t xml:space="preserve">9.5</t>
  </si>
  <si>
    <t xml:space="preserve">Fabrizio Lucarelli, Michele Palatiello, Marco Mastrofini, Francesco Dazzi, Filippo Ambrosino, Stefano Gallozzi</t>
  </si>
  <si>
    <t xml:space="preserve">9.6</t>
  </si>
  <si>
    <t xml:space="preserve">Andrea Bulgarelli, Ambra Di Piano, Vitalii Slliusar, Ievgen Vovk</t>
  </si>
  <si>
    <t xml:space="preserve">Summary</t>
  </si>
</sst>
</file>

<file path=xl/styles.xml><?xml version="1.0" encoding="utf-8"?>
<styleSheet xmlns="http://schemas.openxmlformats.org/spreadsheetml/2006/main">
  <numFmts count="3">
    <numFmt numFmtId="164" formatCode="General"/>
    <numFmt numFmtId="165" formatCode="@"/>
    <numFmt numFmtId="166" formatCode="General"/>
  </numFmts>
  <fonts count="11">
    <font>
      <sz val="10"/>
      <color rgb="FF000000"/>
      <name val="Helvetica Neue"/>
      <family val="0"/>
      <charset val="1"/>
    </font>
    <font>
      <sz val="10"/>
      <name val="Arial"/>
      <family val="0"/>
    </font>
    <font>
      <sz val="10"/>
      <name val="Arial"/>
      <family val="0"/>
    </font>
    <font>
      <sz val="10"/>
      <name val="Arial"/>
      <family val="0"/>
    </font>
    <font>
      <sz val="12"/>
      <color rgb="FF000000"/>
      <name val="Helvetica Neue"/>
      <family val="0"/>
      <charset val="1"/>
    </font>
    <font>
      <b val="true"/>
      <sz val="10"/>
      <color rgb="FF000000"/>
      <name val="Helvetica Neue"/>
      <family val="0"/>
      <charset val="1"/>
    </font>
    <font>
      <sz val="14"/>
      <color rgb="FF000000"/>
      <name val="Helvetica Neue"/>
      <family val="0"/>
      <charset val="1"/>
    </font>
    <font>
      <sz val="11"/>
      <color rgb="FF000000"/>
      <name val="Helvetica Neue"/>
      <family val="0"/>
      <charset val="1"/>
    </font>
    <font>
      <u val="single"/>
      <sz val="10"/>
      <color rgb="FF000000"/>
      <name val="Cambria"/>
      <family val="0"/>
      <charset val="1"/>
    </font>
    <font>
      <u val="single"/>
      <sz val="10"/>
      <color rgb="FF000000"/>
      <name val="Helvetica Neue"/>
      <family val="0"/>
      <charset val="1"/>
    </font>
    <font>
      <sz val="10"/>
      <color rgb="FF000000"/>
      <name val="Arial"/>
      <family val="0"/>
      <charset val="1"/>
    </font>
  </fonts>
  <fills count="18">
    <fill>
      <patternFill patternType="none"/>
    </fill>
    <fill>
      <patternFill patternType="gray125"/>
    </fill>
    <fill>
      <patternFill patternType="solid">
        <fgColor rgb="FFBDC0BF"/>
        <bgColor rgb="FFD5D5D5"/>
      </patternFill>
    </fill>
    <fill>
      <patternFill patternType="solid">
        <fgColor rgb="FFE4E1E7"/>
        <bgColor rgb="FFEBE3DB"/>
      </patternFill>
    </fill>
    <fill>
      <patternFill patternType="solid">
        <fgColor rgb="FFEBE3DB"/>
        <bgColor rgb="FFE4E1E7"/>
      </patternFill>
    </fill>
    <fill>
      <patternFill patternType="solid">
        <fgColor rgb="FF88F94E"/>
        <bgColor rgb="FF7DFFD1"/>
      </patternFill>
    </fill>
    <fill>
      <patternFill patternType="solid">
        <fgColor rgb="FFC27BA0"/>
        <bgColor rgb="FFA5A5A5"/>
      </patternFill>
    </fill>
    <fill>
      <patternFill patternType="solid">
        <fgColor rgb="FFD5D5D5"/>
        <bgColor rgb="FFDBDBDB"/>
      </patternFill>
    </fill>
    <fill>
      <patternFill patternType="solid">
        <fgColor rgb="FFC9DAF8"/>
        <bgColor rgb="FFDBDBDB"/>
      </patternFill>
    </fill>
    <fill>
      <patternFill patternType="solid">
        <fgColor rgb="FFA6FCD5"/>
        <bgColor rgb="FFA5FCD5"/>
      </patternFill>
    </fill>
    <fill>
      <patternFill patternType="solid">
        <fgColor rgb="FF7DFFD1"/>
        <bgColor rgb="FFA5FCD5"/>
      </patternFill>
    </fill>
    <fill>
      <patternFill patternType="solid">
        <fgColor rgb="FFDBDBDB"/>
        <bgColor rgb="FFD5D5D5"/>
      </patternFill>
    </fill>
    <fill>
      <patternFill patternType="solid">
        <fgColor rgb="FFD6FED6"/>
        <bgColor rgb="FFEBE3DB"/>
      </patternFill>
    </fill>
    <fill>
      <patternFill patternType="solid">
        <fgColor rgb="FFEAD1DC"/>
        <bgColor rgb="FFDBDBDB"/>
      </patternFill>
    </fill>
    <fill>
      <patternFill patternType="solid">
        <fgColor rgb="FFA5FCD5"/>
        <bgColor rgb="FFA6FCD5"/>
      </patternFill>
    </fill>
    <fill>
      <patternFill patternType="solid">
        <fgColor rgb="FF16E6CF"/>
        <bgColor rgb="FF00FFFF"/>
      </patternFill>
    </fill>
    <fill>
      <patternFill patternType="solid">
        <fgColor rgb="FF00FF00"/>
        <bgColor rgb="FF16E6CF"/>
      </patternFill>
    </fill>
    <fill>
      <patternFill patternType="solid">
        <fgColor rgb="FFFF0000"/>
        <bgColor rgb="FF993300"/>
      </patternFill>
    </fill>
  </fills>
  <borders count="17">
    <border diagonalUp="false" diagonalDown="false">
      <left/>
      <right/>
      <top/>
      <bottom/>
      <diagonal/>
    </border>
    <border diagonalUp="false" diagonalDown="false">
      <left/>
      <right style="thin"/>
      <top/>
      <bottom/>
      <diagonal/>
    </border>
    <border diagonalUp="false" diagonalDown="false">
      <left style="thin">
        <color rgb="FFA5A5A5"/>
      </left>
      <right style="thin">
        <color rgb="FFA5A5A5"/>
      </right>
      <top style="thin">
        <color rgb="FFA5A5A5"/>
      </top>
      <bottom style="thin">
        <color rgb="FF3F3F3F"/>
      </bottom>
      <diagonal/>
    </border>
    <border diagonalUp="false" diagonalDown="false">
      <left style="thin">
        <color rgb="FFA5A5A5"/>
      </left>
      <right/>
      <top style="thin">
        <color rgb="FFA5A5A5"/>
      </top>
      <bottom style="thin">
        <color rgb="FF3F3F3F"/>
      </bottom>
      <diagonal/>
    </border>
    <border diagonalUp="false" diagonalDown="false">
      <left style="thin"/>
      <right style="thin"/>
      <top style="thin"/>
      <bottom style="thin"/>
      <diagonal/>
    </border>
    <border diagonalUp="false" diagonalDown="false">
      <left style="thin">
        <color rgb="FFA5A5A5"/>
      </left>
      <right style="thin">
        <color rgb="FFA5A5A5"/>
      </right>
      <top/>
      <bottom/>
      <diagonal/>
    </border>
    <border diagonalUp="false" diagonalDown="false">
      <left style="thin">
        <color rgb="FFA5A5A5"/>
      </left>
      <right/>
      <top/>
      <bottom/>
      <diagonal/>
    </border>
    <border diagonalUp="false" diagonalDown="false">
      <left style="thin">
        <color rgb="FFA5A5A5"/>
      </left>
      <right style="thin">
        <color rgb="FFA5A5A5"/>
      </right>
      <top style="thin">
        <color rgb="FFA5A5A5"/>
      </top>
      <bottom style="thin">
        <color rgb="FFA5A5A5"/>
      </bottom>
      <diagonal/>
    </border>
    <border diagonalUp="false" diagonalDown="false">
      <left style="thin">
        <color rgb="FFA5A5A5"/>
      </left>
      <right/>
      <top style="thin">
        <color rgb="FFA5A5A5"/>
      </top>
      <bottom style="thin">
        <color rgb="FFA5A5A5"/>
      </bottom>
      <diagonal/>
    </border>
    <border diagonalUp="false" diagonalDown="false">
      <left style="thin">
        <color rgb="FFA5A5A5"/>
      </left>
      <right style="thin">
        <color rgb="FFA5A5A5"/>
      </right>
      <top/>
      <bottom style="thin">
        <color rgb="FFA5A5A5"/>
      </bottom>
      <diagonal/>
    </border>
    <border diagonalUp="false" diagonalDown="false">
      <left style="thin">
        <color rgb="FFA5A5A5"/>
      </left>
      <right/>
      <top/>
      <bottom style="thin">
        <color rgb="FFA5A5A5"/>
      </bottom>
      <diagonal/>
    </border>
    <border diagonalUp="false" diagonalDown="false">
      <left style="thin">
        <color rgb="FFA5A5A5"/>
      </left>
      <right style="thin">
        <color rgb="FFA5A5A5"/>
      </right>
      <top style="thin">
        <color rgb="FF3F3F3F"/>
      </top>
      <bottom style="thin">
        <color rgb="FFA5A5A5"/>
      </bottom>
      <diagonal/>
    </border>
    <border diagonalUp="false" diagonalDown="false">
      <left style="thin">
        <color rgb="FFA5A5A5"/>
      </left>
      <right/>
      <top style="thin">
        <color rgb="FF3F3F3F"/>
      </top>
      <bottom style="thin">
        <color rgb="FFA5A5A5"/>
      </bottom>
      <diagonal/>
    </border>
    <border diagonalUp="false" diagonalDown="false">
      <left/>
      <right style="thin"/>
      <top style="thin"/>
      <bottom style="thin"/>
      <diagonal/>
    </border>
    <border diagonalUp="false" diagonalDown="false">
      <left style="thin"/>
      <right/>
      <top style="thin">
        <color rgb="FFA5A5A5"/>
      </top>
      <bottom style="thin">
        <color rgb="FFA5A5A5"/>
      </bottom>
      <diagonal/>
    </border>
    <border diagonalUp="false" diagonalDown="false">
      <left style="medium"/>
      <right style="thin">
        <color rgb="FFA5A5A5"/>
      </right>
      <top style="medium"/>
      <bottom style="medium"/>
      <diagonal/>
    </border>
    <border diagonalUp="false" diagonalDown="false">
      <left style="thin">
        <color rgb="FFA5A5A5"/>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5" fillId="2" borderId="2" xfId="0" applyFont="true" applyBorder="true" applyAlignment="true" applyProtection="false">
      <alignment horizontal="general" vertical="top" textRotation="0" wrapText="true" indent="0" shrinkToFit="false"/>
      <protection locked="true" hidden="false"/>
    </xf>
    <xf numFmtId="165" fontId="5" fillId="2" borderId="3" xfId="0" applyFont="true" applyBorder="true" applyAlignment="true" applyProtection="false">
      <alignment horizontal="general" vertical="top" textRotation="0" wrapText="true" indent="0" shrinkToFit="false"/>
      <protection locked="true" hidden="false"/>
    </xf>
    <xf numFmtId="165" fontId="5" fillId="3" borderId="4" xfId="0" applyFont="true" applyBorder="true" applyAlignment="true" applyProtection="false">
      <alignment horizontal="general" vertical="top" textRotation="0" wrapText="true" indent="0" shrinkToFit="false"/>
      <protection locked="true" hidden="false"/>
    </xf>
    <xf numFmtId="165" fontId="5" fillId="4" borderId="4" xfId="0" applyFont="true" applyBorder="true" applyAlignment="true" applyProtection="false">
      <alignment horizontal="general" vertical="top" textRotation="0" wrapText="true" indent="0" shrinkToFit="false"/>
      <protection locked="true" hidden="false"/>
    </xf>
    <xf numFmtId="165" fontId="5" fillId="5" borderId="4" xfId="0" applyFont="true" applyBorder="true" applyAlignment="true" applyProtection="false">
      <alignment horizontal="general" vertical="top" textRotation="0" wrapText="true" indent="0" shrinkToFit="false"/>
      <protection locked="true" hidden="false"/>
    </xf>
    <xf numFmtId="165" fontId="5" fillId="6" borderId="4" xfId="0" applyFont="true" applyBorder="true" applyAlignment="true" applyProtection="false">
      <alignment horizontal="general" vertical="top" textRotation="0" wrapText="true" indent="0" shrinkToFit="false"/>
      <protection locked="true" hidden="false"/>
    </xf>
    <xf numFmtId="165" fontId="5" fillId="7" borderId="4" xfId="0" applyFont="true" applyBorder="true" applyAlignment="true" applyProtection="false">
      <alignment horizontal="general" vertical="top" textRotation="0" wrapText="true" indent="0" shrinkToFit="false"/>
      <protection locked="true" hidden="false"/>
    </xf>
    <xf numFmtId="165" fontId="5" fillId="8" borderId="4" xfId="0" applyFont="true" applyBorder="true" applyAlignment="true" applyProtection="false">
      <alignment horizontal="general" vertical="top" textRotation="0" wrapText="true" indent="0" shrinkToFit="false"/>
      <protection locked="true" hidden="false"/>
    </xf>
    <xf numFmtId="165" fontId="5" fillId="9" borderId="5" xfId="0" applyFont="true" applyBorder="true" applyAlignment="true" applyProtection="false">
      <alignment horizontal="right" vertical="top" textRotation="0" wrapText="true" indent="0" shrinkToFit="false"/>
      <protection locked="true" hidden="false"/>
    </xf>
    <xf numFmtId="165" fontId="5" fillId="9" borderId="6" xfId="0" applyFont="true" applyBorder="true" applyAlignment="true" applyProtection="false">
      <alignment horizontal="general" vertical="top" textRotation="0" wrapText="true" indent="0" shrinkToFit="false"/>
      <protection locked="true" hidden="false"/>
    </xf>
    <xf numFmtId="164" fontId="0" fillId="10" borderId="4" xfId="0" applyFont="true" applyBorder="true" applyAlignment="true" applyProtection="false">
      <alignment horizontal="general" vertical="top" textRotation="0" wrapText="true" indent="0" shrinkToFit="false"/>
      <protection locked="true" hidden="false"/>
    </xf>
    <xf numFmtId="164" fontId="6" fillId="10" borderId="4" xfId="0" applyFont="true" applyBorder="true" applyAlignment="true" applyProtection="false">
      <alignment horizontal="general" vertical="top" textRotation="0" wrapText="true" indent="0" shrinkToFit="false"/>
      <protection locked="true" hidden="false"/>
    </xf>
    <xf numFmtId="165" fontId="5" fillId="11" borderId="7" xfId="0" applyFont="true" applyBorder="true" applyAlignment="true" applyProtection="false">
      <alignment horizontal="right" vertical="top" textRotation="0" wrapText="true" indent="0" shrinkToFit="false"/>
      <protection locked="true" hidden="false"/>
    </xf>
    <xf numFmtId="164" fontId="5" fillId="11" borderId="8" xfId="0" applyFont="true" applyBorder="true" applyAlignment="true" applyProtection="false">
      <alignment horizontal="general" vertical="top" textRotation="0" wrapText="true" indent="0" shrinkToFit="false"/>
      <protection locked="true" hidden="false"/>
    </xf>
    <xf numFmtId="165" fontId="0" fillId="3" borderId="4" xfId="0" applyFont="true" applyBorder="true" applyAlignment="true" applyProtection="false">
      <alignment horizontal="general" vertical="top" textRotation="0" wrapText="true" indent="0" shrinkToFit="false"/>
      <protection locked="true" hidden="false"/>
    </xf>
    <xf numFmtId="164" fontId="0" fillId="4" borderId="4" xfId="0" applyFont="true" applyBorder="true" applyAlignment="true" applyProtection="false">
      <alignment horizontal="general" vertical="top" textRotation="0" wrapText="true" indent="0" shrinkToFit="false"/>
      <protection locked="true" hidden="false"/>
    </xf>
    <xf numFmtId="164" fontId="6" fillId="12" borderId="4" xfId="0" applyFont="true" applyBorder="true" applyAlignment="true" applyProtection="false">
      <alignment horizontal="general" vertical="top" textRotation="0" wrapText="true" indent="0" shrinkToFit="false"/>
      <protection locked="true" hidden="false"/>
    </xf>
    <xf numFmtId="164" fontId="0" fillId="13" borderId="4"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5" fontId="5" fillId="9" borderId="9" xfId="0" applyFont="true" applyBorder="true" applyAlignment="true" applyProtection="false">
      <alignment horizontal="right" vertical="top" textRotation="0" wrapText="true" indent="0" shrinkToFit="false"/>
      <protection locked="true" hidden="false"/>
    </xf>
    <xf numFmtId="165" fontId="5" fillId="9" borderId="10" xfId="0" applyFont="true" applyBorder="true" applyAlignment="true" applyProtection="false">
      <alignment horizontal="general" vertical="top" textRotation="0" wrapText="true" indent="0" shrinkToFit="false"/>
      <protection locked="true" hidden="false"/>
    </xf>
    <xf numFmtId="164" fontId="5" fillId="11" borderId="10" xfId="0" applyFont="true" applyBorder="true" applyAlignment="true" applyProtection="false">
      <alignment horizontal="general" vertical="top" textRotation="0" wrapText="true" indent="0" shrinkToFit="false"/>
      <protection locked="true" hidden="false"/>
    </xf>
    <xf numFmtId="164" fontId="5" fillId="11" borderId="6" xfId="0" applyFont="true" applyBorder="true" applyAlignment="true" applyProtection="false">
      <alignment horizontal="general" vertical="top" textRotation="0" wrapText="true" indent="0" shrinkToFit="false"/>
      <protection locked="true" hidden="false"/>
    </xf>
    <xf numFmtId="165" fontId="7" fillId="0" borderId="4" xfId="0" applyFont="true" applyBorder="true" applyAlignment="true" applyProtection="false">
      <alignment horizontal="general" vertical="top" textRotation="0" wrapText="true" indent="0" shrinkToFit="false"/>
      <protection locked="true" hidden="false"/>
    </xf>
    <xf numFmtId="165" fontId="5" fillId="9" borderId="11" xfId="0" applyFont="true" applyBorder="true" applyAlignment="true" applyProtection="false">
      <alignment horizontal="right" vertical="top" textRotation="0" wrapText="true" indent="0" shrinkToFit="false"/>
      <protection locked="true" hidden="false"/>
    </xf>
    <xf numFmtId="165" fontId="5" fillId="9" borderId="12" xfId="0" applyFont="true" applyBorder="true" applyAlignment="true" applyProtection="false">
      <alignment horizontal="general" vertical="top" textRotation="0" wrapText="true" indent="0" shrinkToFit="false"/>
      <protection locked="true" hidden="false"/>
    </xf>
    <xf numFmtId="165" fontId="0" fillId="0" borderId="4" xfId="0" applyFont="true" applyBorder="true" applyAlignment="true" applyProtection="false">
      <alignment horizontal="general" vertical="top"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5" fontId="5" fillId="9" borderId="7" xfId="0" applyFont="true" applyBorder="true" applyAlignment="true" applyProtection="false">
      <alignment horizontal="right" vertical="top" textRotation="0" wrapText="true" indent="0" shrinkToFit="false"/>
      <protection locked="true" hidden="false"/>
    </xf>
    <xf numFmtId="165" fontId="5" fillId="9" borderId="8" xfId="0" applyFont="true" applyBorder="true" applyAlignment="true" applyProtection="false">
      <alignment horizontal="general" vertical="top" textRotation="0" wrapText="true" indent="0" shrinkToFit="false"/>
      <protection locked="true" hidden="false"/>
    </xf>
    <xf numFmtId="164" fontId="9" fillId="0" borderId="4"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0" fillId="3" borderId="4" xfId="0" applyFont="true" applyBorder="true" applyAlignment="true" applyProtection="false">
      <alignment horizontal="general" vertical="top" textRotation="0" wrapText="true" indent="0" shrinkToFit="false"/>
      <protection locked="true" hidden="false"/>
    </xf>
    <xf numFmtId="165" fontId="0" fillId="4" borderId="4" xfId="0" applyFont="true" applyBorder="true" applyAlignment="true" applyProtection="false">
      <alignment horizontal="general" vertical="top" textRotation="0" wrapText="true" indent="0" shrinkToFit="false"/>
      <protection locked="true" hidden="false"/>
    </xf>
    <xf numFmtId="164" fontId="0" fillId="14" borderId="4" xfId="0" applyFont="true" applyBorder="true" applyAlignment="true" applyProtection="false">
      <alignment horizontal="general" vertical="top" textRotation="0" wrapText="true" indent="0" shrinkToFit="false"/>
      <protection locked="true" hidden="false"/>
    </xf>
    <xf numFmtId="164" fontId="6" fillId="14" borderId="4" xfId="0" applyFont="true" applyBorder="true" applyAlignment="true" applyProtection="false">
      <alignment horizontal="general" vertical="top" textRotation="0" wrapText="true" indent="0" shrinkToFit="false"/>
      <protection locked="true" hidden="false"/>
    </xf>
    <xf numFmtId="164" fontId="7" fillId="3" borderId="4" xfId="0" applyFont="true" applyBorder="true" applyAlignment="true" applyProtection="false">
      <alignment horizontal="general" vertical="top" textRotation="0" wrapText="true" indent="0" shrinkToFit="false"/>
      <protection locked="true" hidden="false"/>
    </xf>
    <xf numFmtId="165" fontId="7" fillId="4" borderId="13" xfId="0" applyFont="true" applyBorder="true" applyAlignment="true" applyProtection="false">
      <alignment horizontal="general" vertical="top" textRotation="0" wrapText="true" indent="0" shrinkToFit="false"/>
      <protection locked="true" hidden="false"/>
    </xf>
    <xf numFmtId="164" fontId="6" fillId="12" borderId="13" xfId="0" applyFont="true" applyBorder="true" applyAlignment="true" applyProtection="false">
      <alignment horizontal="right" vertical="top" textRotation="0" wrapText="true" indent="0" shrinkToFit="false"/>
      <protection locked="true" hidden="false"/>
    </xf>
    <xf numFmtId="165" fontId="5" fillId="11" borderId="8" xfId="0" applyFont="true" applyBorder="tru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12" borderId="4" xfId="0" applyFont="true" applyBorder="true" applyAlignment="true" applyProtection="false">
      <alignment horizontal="general" vertical="top" textRotation="0" wrapText="true" indent="0" shrinkToFit="false"/>
      <protection locked="true" hidden="false"/>
    </xf>
    <xf numFmtId="164" fontId="5" fillId="11" borderId="14" xfId="0" applyFont="true" applyBorder="true" applyAlignment="true" applyProtection="false">
      <alignment horizontal="general" vertical="top" textRotation="0" wrapText="true" indent="0" shrinkToFit="false"/>
      <protection locked="true" hidden="false"/>
    </xf>
    <xf numFmtId="165" fontId="5" fillId="11" borderId="15" xfId="0" applyFont="true" applyBorder="true" applyAlignment="true" applyProtection="false">
      <alignment horizontal="general" vertical="top" textRotation="0" wrapText="true" indent="0" shrinkToFit="false"/>
      <protection locked="true" hidden="false"/>
    </xf>
    <xf numFmtId="164" fontId="5" fillId="11" borderId="16" xfId="0" applyFont="true" applyBorder="true" applyAlignment="true" applyProtection="false">
      <alignment horizontal="general" vertical="top" textRotation="0" wrapText="true" indent="0" shrinkToFit="false"/>
      <protection locked="true" hidden="false"/>
    </xf>
    <xf numFmtId="164" fontId="6" fillId="15" borderId="4" xfId="0" applyFont="true" applyBorder="true" applyAlignment="true" applyProtection="false">
      <alignment horizontal="general" vertical="top" textRotation="0" wrapText="true" indent="0" shrinkToFit="false"/>
      <protection locked="true" hidden="false"/>
    </xf>
    <xf numFmtId="166" fontId="6" fillId="16" borderId="4" xfId="0" applyFont="true" applyBorder="true" applyAlignment="true" applyProtection="false">
      <alignment horizontal="general" vertical="top" textRotation="0" wrapText="true" indent="0" shrinkToFit="false"/>
      <protection locked="true" hidden="false"/>
    </xf>
    <xf numFmtId="166" fontId="6" fillId="17" borderId="4"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4E1E7"/>
      <rgbColor rgb="FFFF0000"/>
      <rgbColor rgb="FF00FF00"/>
      <rgbColor rgb="FF0000FF"/>
      <rgbColor rgb="FFFFFF00"/>
      <rgbColor rgb="FFFF00FF"/>
      <rgbColor rgb="FF7DFFD1"/>
      <rgbColor rgb="FF800000"/>
      <rgbColor rgb="FF008000"/>
      <rgbColor rgb="FF000080"/>
      <rgbColor rgb="FF808000"/>
      <rgbColor rgb="FF800080"/>
      <rgbColor rgb="FF008080"/>
      <rgbColor rgb="FFBDC0BF"/>
      <rgbColor rgb="FF808080"/>
      <rgbColor rgb="FF9999FF"/>
      <rgbColor rgb="FF993366"/>
      <rgbColor rgb="FFEBE3DB"/>
      <rgbColor rgb="FFA6FCD5"/>
      <rgbColor rgb="FF660066"/>
      <rgbColor rgb="FFC27BA0"/>
      <rgbColor rgb="FF0066CC"/>
      <rgbColor rgb="FFC9DAF8"/>
      <rgbColor rgb="FF000080"/>
      <rgbColor rgb="FFFF00FF"/>
      <rgbColor rgb="FFFFFF00"/>
      <rgbColor rgb="FF00FFFF"/>
      <rgbColor rgb="FF800080"/>
      <rgbColor rgb="FF800000"/>
      <rgbColor rgb="FF008080"/>
      <rgbColor rgb="FF0000FF"/>
      <rgbColor rgb="FF00CCFF"/>
      <rgbColor rgb="FFA5FCD5"/>
      <rgbColor rgb="FFD6FED6"/>
      <rgbColor rgb="FFDBDBDB"/>
      <rgbColor rgb="FFD5D5D5"/>
      <rgbColor rgb="FFFF99CC"/>
      <rgbColor rgb="FFCC99FF"/>
      <rgbColor rgb="FFEAD1DC"/>
      <rgbColor rgb="FF3366FF"/>
      <rgbColor rgb="FF16E6CF"/>
      <rgbColor rgb="FF88F94E"/>
      <rgbColor rgb="FFFFCC00"/>
      <rgbColor rgb="FFFF9900"/>
      <rgbColor rgb="FFFF6600"/>
      <rgbColor rgb="FF666699"/>
      <rgbColor rgb="FFA5A5A5"/>
      <rgbColor rgb="FF003366"/>
      <rgbColor rgb="FF339966"/>
      <rgbColor rgb="FF003300"/>
      <rgbColor rgb="FF333300"/>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outlook.office.com/people/group/cta-observatory.org/lst-extsc" TargetMode="External"/><Relationship Id="rId3" Type="http://schemas.openxmlformats.org/officeDocument/2006/relationships/hyperlink" Target="https://outlook.office.com/people/group/cta-observatory.org/lst-safety" TargetMode="External"/><Relationship Id="rId4" Type="http://schemas.openxmlformats.org/officeDocument/2006/relationships/hyperlink" Target="https://docs.google.com/spreadsheets/d/1ms2oEZjLiajTPHWiXO35cvQ0qORz6xLTHCUwrVX4LA4/edit?usp=sharing" TargetMode="External"/><Relationship Id="rId5" Type="http://schemas.openxmlformats.org/officeDocument/2006/relationships/hyperlink" Target="https://www.lst1.iac.es/operations/foa/index.html." TargetMode="External"/><Relationship Id="rId6"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60"/>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D133" activeCellId="0" sqref="D133"/>
    </sheetView>
  </sheetViews>
  <sheetFormatPr defaultColWidth="14.42578125" defaultRowHeight="15" zeroHeight="false" outlineLevelRow="2" outlineLevelCol="0"/>
  <cols>
    <col collapsed="false" customWidth="true" hidden="false" outlineLevel="0" max="2" min="2" style="0" width="30.2"/>
    <col collapsed="false" customWidth="true" hidden="false" outlineLevel="0" max="3" min="3" style="0" width="30.86"/>
    <col collapsed="false" customWidth="true" hidden="false" outlineLevel="0" max="4" min="4" style="0" width="30"/>
    <col collapsed="false" customWidth="true" hidden="false" outlineLevel="0" max="9" min="9" style="0" width="55.86"/>
    <col collapsed="false" customWidth="true" hidden="false" outlineLevel="0" max="10" min="10" style="0" width="30.57"/>
    <col collapsed="false" customWidth="true" hidden="false" outlineLevel="0" max="11" min="11" style="0" width="66.14"/>
  </cols>
  <sheetData>
    <row r="1" customFormat="false" ht="15" hidden="false" customHeight="false" outlineLevel="0" collapsed="false">
      <c r="A1" s="1" t="n">
        <v>2025</v>
      </c>
      <c r="B1" s="1"/>
      <c r="C1" s="1"/>
      <c r="D1" s="1"/>
      <c r="E1" s="1"/>
      <c r="F1" s="1"/>
      <c r="G1" s="1"/>
      <c r="H1" s="1"/>
      <c r="I1" s="1"/>
      <c r="J1" s="1"/>
      <c r="K1" s="2"/>
    </row>
    <row r="2" customFormat="false" ht="28.6" hidden="false" customHeight="true" outlineLevel="0" collapsed="false">
      <c r="A2" s="3" t="s">
        <v>0</v>
      </c>
      <c r="B2" s="4" t="s">
        <v>1</v>
      </c>
      <c r="C2" s="5" t="s">
        <v>2</v>
      </c>
      <c r="D2" s="6" t="s">
        <v>3</v>
      </c>
      <c r="E2" s="7" t="s">
        <v>4</v>
      </c>
      <c r="F2" s="7" t="s">
        <v>5</v>
      </c>
      <c r="G2" s="7" t="s">
        <v>6</v>
      </c>
      <c r="H2" s="7" t="s">
        <v>7</v>
      </c>
      <c r="I2" s="8" t="s">
        <v>8</v>
      </c>
      <c r="J2" s="9" t="s">
        <v>9</v>
      </c>
      <c r="K2" s="10" t="s">
        <v>10</v>
      </c>
    </row>
    <row r="3" customFormat="false" ht="15" hidden="false" customHeight="false" outlineLevel="0" collapsed="false">
      <c r="A3" s="11" t="s">
        <v>11</v>
      </c>
      <c r="B3" s="12" t="s">
        <v>12</v>
      </c>
      <c r="C3" s="13"/>
      <c r="D3" s="13"/>
      <c r="E3" s="14"/>
      <c r="F3" s="14" t="n">
        <f aca="false">SUM(F4)</f>
        <v>3</v>
      </c>
      <c r="G3" s="14" t="n">
        <f aca="false">SUM(G4)</f>
        <v>2</v>
      </c>
      <c r="H3" s="14" t="n">
        <f aca="false">SUM(H4)</f>
        <v>1</v>
      </c>
      <c r="I3" s="13"/>
      <c r="J3" s="14"/>
      <c r="K3" s="14"/>
    </row>
    <row r="4" customFormat="false" ht="15" hidden="false" customHeight="false" outlineLevel="1" collapsed="false">
      <c r="A4" s="15" t="s">
        <v>13</v>
      </c>
      <c r="B4" s="16"/>
      <c r="C4" s="17" t="s">
        <v>14</v>
      </c>
      <c r="D4" s="18"/>
      <c r="E4" s="19" t="s">
        <v>15</v>
      </c>
      <c r="F4" s="19" t="n">
        <v>3</v>
      </c>
      <c r="G4" s="19" t="n">
        <v>2</v>
      </c>
      <c r="H4" s="19" t="n">
        <v>1</v>
      </c>
      <c r="I4" s="20"/>
      <c r="J4" s="21"/>
      <c r="K4" s="21" t="s">
        <v>16</v>
      </c>
    </row>
    <row r="5" customFormat="false" ht="15" hidden="false" customHeight="false" outlineLevel="0" collapsed="false">
      <c r="A5" s="22" t="s">
        <v>17</v>
      </c>
      <c r="B5" s="23" t="s">
        <v>18</v>
      </c>
      <c r="C5" s="13"/>
      <c r="D5" s="13"/>
      <c r="E5" s="14"/>
      <c r="F5" s="14" t="n">
        <f aca="false">SUM(F6:F22)</f>
        <v>43</v>
      </c>
      <c r="G5" s="14" t="n">
        <f aca="false">SUM(G6:G22)</f>
        <v>37</v>
      </c>
      <c r="H5" s="14" t="n">
        <f aca="false">SUM(H6:H22)</f>
        <v>6</v>
      </c>
      <c r="I5" s="13"/>
      <c r="J5" s="14"/>
      <c r="K5" s="14"/>
    </row>
    <row r="6" customFormat="false" ht="15" hidden="false" customHeight="false" outlineLevel="1" collapsed="false">
      <c r="A6" s="15" t="s">
        <v>19</v>
      </c>
      <c r="B6" s="16"/>
      <c r="C6" s="17" t="s">
        <v>20</v>
      </c>
      <c r="D6" s="18"/>
      <c r="E6" s="19" t="s">
        <v>15</v>
      </c>
      <c r="F6" s="19" t="n">
        <v>2</v>
      </c>
      <c r="G6" s="19" t="n">
        <v>2</v>
      </c>
      <c r="H6" s="19" t="n">
        <f aca="false">F6-G6</f>
        <v>0</v>
      </c>
      <c r="I6" s="20"/>
      <c r="J6" s="21"/>
      <c r="K6" s="21" t="s">
        <v>21</v>
      </c>
    </row>
    <row r="7" customFormat="false" ht="15" hidden="false" customHeight="false" outlineLevel="1" collapsed="false">
      <c r="A7" s="15" t="s">
        <v>22</v>
      </c>
      <c r="B7" s="24"/>
      <c r="C7" s="17" t="s">
        <v>23</v>
      </c>
      <c r="D7" s="18"/>
      <c r="E7" s="19" t="s">
        <v>15</v>
      </c>
      <c r="F7" s="19" t="n">
        <v>2</v>
      </c>
      <c r="G7" s="19" t="n">
        <v>2</v>
      </c>
      <c r="H7" s="19" t="n">
        <f aca="false">F7-G7</f>
        <v>0</v>
      </c>
      <c r="I7" s="20"/>
      <c r="J7" s="21"/>
      <c r="K7" s="21" t="s">
        <v>24</v>
      </c>
    </row>
    <row r="8" customFormat="false" ht="15" hidden="false" customHeight="false" outlineLevel="1" collapsed="false">
      <c r="A8" s="15" t="s">
        <v>25</v>
      </c>
      <c r="B8" s="16"/>
      <c r="C8" s="17" t="s">
        <v>26</v>
      </c>
      <c r="D8" s="18"/>
      <c r="E8" s="19" t="s">
        <v>15</v>
      </c>
      <c r="F8" s="19" t="n">
        <v>2</v>
      </c>
      <c r="G8" s="19" t="n">
        <v>2</v>
      </c>
      <c r="H8" s="19" t="n">
        <f aca="false">F8-G8</f>
        <v>0</v>
      </c>
      <c r="I8" s="20"/>
      <c r="J8" s="21"/>
      <c r="K8" s="21" t="s">
        <v>27</v>
      </c>
    </row>
    <row r="9" customFormat="false" ht="15" hidden="false" customHeight="false" outlineLevel="1" collapsed="false">
      <c r="A9" s="15" t="s">
        <v>28</v>
      </c>
      <c r="B9" s="24"/>
      <c r="C9" s="17" t="s">
        <v>29</v>
      </c>
      <c r="D9" s="18"/>
      <c r="E9" s="19" t="s">
        <v>15</v>
      </c>
      <c r="F9" s="19" t="n">
        <v>2</v>
      </c>
      <c r="G9" s="19" t="n">
        <v>1</v>
      </c>
      <c r="H9" s="19" t="n">
        <f aca="false">F9-G9</f>
        <v>1</v>
      </c>
      <c r="I9" s="20"/>
      <c r="J9" s="21"/>
      <c r="K9" s="21" t="s">
        <v>30</v>
      </c>
    </row>
    <row r="10" customFormat="false" ht="15" hidden="false" customHeight="false" outlineLevel="1" collapsed="false">
      <c r="A10" s="15" t="s">
        <v>31</v>
      </c>
      <c r="B10" s="24"/>
      <c r="C10" s="17" t="s">
        <v>32</v>
      </c>
      <c r="D10" s="18"/>
      <c r="E10" s="19" t="s">
        <v>15</v>
      </c>
      <c r="F10" s="19" t="n">
        <v>2</v>
      </c>
      <c r="G10" s="19" t="n">
        <v>0</v>
      </c>
      <c r="H10" s="19" t="n">
        <f aca="false">F10-G10</f>
        <v>2</v>
      </c>
      <c r="I10" s="20"/>
      <c r="J10" s="21"/>
      <c r="K10" s="21"/>
    </row>
    <row r="11" customFormat="false" ht="15" hidden="false" customHeight="false" outlineLevel="1" collapsed="false">
      <c r="A11" s="15" t="s">
        <v>33</v>
      </c>
      <c r="B11" s="25"/>
      <c r="C11" s="17" t="s">
        <v>34</v>
      </c>
      <c r="D11" s="18"/>
      <c r="E11" s="19" t="s">
        <v>15</v>
      </c>
      <c r="F11" s="19" t="n">
        <v>3</v>
      </c>
      <c r="G11" s="19" t="n">
        <v>2</v>
      </c>
      <c r="H11" s="19" t="n">
        <f aca="false">F11-G11</f>
        <v>1</v>
      </c>
      <c r="I11" s="20"/>
      <c r="J11" s="21"/>
      <c r="K11" s="21" t="s">
        <v>35</v>
      </c>
    </row>
    <row r="12" customFormat="false" ht="15" hidden="false" customHeight="false" outlineLevel="1" collapsed="false">
      <c r="A12" s="15" t="s">
        <v>36</v>
      </c>
      <c r="B12" s="25"/>
      <c r="C12" s="17" t="s">
        <v>37</v>
      </c>
      <c r="D12" s="18"/>
      <c r="E12" s="19" t="s">
        <v>15</v>
      </c>
      <c r="F12" s="19" t="n">
        <v>2</v>
      </c>
      <c r="G12" s="19" t="n">
        <v>2</v>
      </c>
      <c r="H12" s="19" t="n">
        <f aca="false">F12-G12</f>
        <v>0</v>
      </c>
      <c r="I12" s="20"/>
      <c r="J12" s="26"/>
      <c r="K12" s="21" t="s">
        <v>38</v>
      </c>
    </row>
    <row r="13" customFormat="false" ht="15" hidden="false" customHeight="false" outlineLevel="1" collapsed="false">
      <c r="A13" s="15" t="s">
        <v>39</v>
      </c>
      <c r="B13" s="25"/>
      <c r="C13" s="17" t="s">
        <v>40</v>
      </c>
      <c r="D13" s="18"/>
      <c r="E13" s="19" t="s">
        <v>15</v>
      </c>
      <c r="F13" s="19" t="n">
        <v>2</v>
      </c>
      <c r="G13" s="19" t="n">
        <v>2</v>
      </c>
      <c r="H13" s="19" t="n">
        <f aca="false">F13-G13</f>
        <v>0</v>
      </c>
      <c r="I13" s="20"/>
      <c r="J13" s="26"/>
      <c r="K13" s="21" t="s">
        <v>41</v>
      </c>
    </row>
    <row r="14" customFormat="false" ht="17.35" hidden="false" customHeight="false" outlineLevel="1" collapsed="false">
      <c r="A14" s="15" t="s">
        <v>42</v>
      </c>
      <c r="B14" s="25"/>
      <c r="C14" s="17" t="s">
        <v>43</v>
      </c>
      <c r="D14" s="18"/>
      <c r="E14" s="19" t="s">
        <v>15</v>
      </c>
      <c r="F14" s="19" t="n">
        <v>4</v>
      </c>
      <c r="G14" s="19" t="n">
        <v>4</v>
      </c>
      <c r="H14" s="19" t="n">
        <f aca="false">F14-G14</f>
        <v>0</v>
      </c>
      <c r="I14" s="20"/>
      <c r="J14" s="26"/>
      <c r="K14" s="21" t="s">
        <v>44</v>
      </c>
    </row>
    <row r="15" customFormat="false" ht="15" hidden="false" customHeight="false" outlineLevel="1" collapsed="false">
      <c r="A15" s="15" t="s">
        <v>45</v>
      </c>
      <c r="B15" s="25"/>
      <c r="C15" s="17" t="s">
        <v>46</v>
      </c>
      <c r="D15" s="18"/>
      <c r="E15" s="19" t="s">
        <v>15</v>
      </c>
      <c r="F15" s="19" t="n">
        <v>2</v>
      </c>
      <c r="G15" s="19" t="n">
        <v>2</v>
      </c>
      <c r="H15" s="19" t="n">
        <f aca="false">F15-G15</f>
        <v>0</v>
      </c>
      <c r="I15" s="20"/>
      <c r="J15" s="26"/>
      <c r="K15" s="21" t="s">
        <v>47</v>
      </c>
    </row>
    <row r="16" customFormat="false" ht="15" hidden="false" customHeight="false" outlineLevel="1" collapsed="false">
      <c r="A16" s="15" t="s">
        <v>48</v>
      </c>
      <c r="B16" s="25"/>
      <c r="C16" s="17" t="s">
        <v>49</v>
      </c>
      <c r="D16" s="18"/>
      <c r="E16" s="19" t="s">
        <v>15</v>
      </c>
      <c r="F16" s="19" t="n">
        <v>2</v>
      </c>
      <c r="G16" s="19" t="n">
        <v>2</v>
      </c>
      <c r="H16" s="19" t="n">
        <f aca="false">F16-G16</f>
        <v>0</v>
      </c>
      <c r="I16" s="20"/>
      <c r="J16" s="26"/>
      <c r="K16" s="21" t="s">
        <v>50</v>
      </c>
    </row>
    <row r="17" customFormat="false" ht="15" hidden="false" customHeight="false" outlineLevel="1" collapsed="false">
      <c r="A17" s="15" t="s">
        <v>51</v>
      </c>
      <c r="B17" s="25"/>
      <c r="C17" s="17" t="s">
        <v>52</v>
      </c>
      <c r="D17" s="18"/>
      <c r="E17" s="19" t="s">
        <v>15</v>
      </c>
      <c r="F17" s="19" t="n">
        <v>2</v>
      </c>
      <c r="G17" s="19" t="n">
        <v>2</v>
      </c>
      <c r="H17" s="19" t="n">
        <f aca="false">F17-G17</f>
        <v>0</v>
      </c>
      <c r="I17" s="20"/>
      <c r="J17" s="26"/>
      <c r="K17" s="21" t="s">
        <v>53</v>
      </c>
    </row>
    <row r="18" customFormat="false" ht="15" hidden="false" customHeight="false" outlineLevel="1" collapsed="false">
      <c r="A18" s="15" t="s">
        <v>54</v>
      </c>
      <c r="B18" s="25"/>
      <c r="C18" s="17" t="s">
        <v>55</v>
      </c>
      <c r="D18" s="18"/>
      <c r="E18" s="19" t="s">
        <v>15</v>
      </c>
      <c r="F18" s="19" t="n">
        <v>2</v>
      </c>
      <c r="G18" s="19" t="n">
        <v>2</v>
      </c>
      <c r="H18" s="19" t="n">
        <f aca="false">F18-G18</f>
        <v>0</v>
      </c>
      <c r="I18" s="20"/>
      <c r="J18" s="26"/>
      <c r="K18" s="21" t="s">
        <v>56</v>
      </c>
    </row>
    <row r="19" customFormat="false" ht="15" hidden="false" customHeight="false" outlineLevel="1" collapsed="false">
      <c r="A19" s="15" t="s">
        <v>57</v>
      </c>
      <c r="B19" s="25"/>
      <c r="C19" s="17" t="s">
        <v>58</v>
      </c>
      <c r="D19" s="18"/>
      <c r="E19" s="19" t="s">
        <v>15</v>
      </c>
      <c r="F19" s="19" t="n">
        <v>2</v>
      </c>
      <c r="G19" s="19" t="n">
        <v>1</v>
      </c>
      <c r="H19" s="19" t="n">
        <f aca="false">F19-G19</f>
        <v>1</v>
      </c>
      <c r="I19" s="20"/>
      <c r="J19" s="26"/>
      <c r="K19" s="21" t="s">
        <v>59</v>
      </c>
    </row>
    <row r="20" customFormat="false" ht="15" hidden="false" customHeight="false" outlineLevel="1" collapsed="false">
      <c r="A20" s="15" t="s">
        <v>60</v>
      </c>
      <c r="B20" s="25"/>
      <c r="C20" s="17" t="s">
        <v>61</v>
      </c>
      <c r="D20" s="18"/>
      <c r="E20" s="19" t="s">
        <v>62</v>
      </c>
      <c r="F20" s="19" t="n">
        <v>2</v>
      </c>
      <c r="G20" s="19" t="n">
        <v>1</v>
      </c>
      <c r="H20" s="19" t="n">
        <f aca="false">F20-G20</f>
        <v>1</v>
      </c>
      <c r="I20" s="20"/>
      <c r="J20" s="26"/>
      <c r="K20" s="21" t="s">
        <v>63</v>
      </c>
    </row>
    <row r="21" customFormat="false" ht="15" hidden="false" customHeight="false" outlineLevel="1" collapsed="false">
      <c r="A21" s="15" t="s">
        <v>64</v>
      </c>
      <c r="B21" s="25"/>
      <c r="C21" s="17" t="s">
        <v>65</v>
      </c>
      <c r="D21" s="18"/>
      <c r="E21" s="19" t="s">
        <v>62</v>
      </c>
      <c r="F21" s="19" t="n">
        <v>8</v>
      </c>
      <c r="G21" s="19" t="n">
        <v>8</v>
      </c>
      <c r="H21" s="19" t="n">
        <f aca="false">F21-G21</f>
        <v>0</v>
      </c>
      <c r="I21" s="20"/>
      <c r="J21" s="26" t="s">
        <v>66</v>
      </c>
      <c r="K21" s="21" t="s">
        <v>67</v>
      </c>
    </row>
    <row r="22" customFormat="false" ht="15" hidden="false" customHeight="false" outlineLevel="1" collapsed="false">
      <c r="A22" s="15" t="s">
        <v>68</v>
      </c>
      <c r="B22" s="25"/>
      <c r="C22" s="17" t="s">
        <v>69</v>
      </c>
      <c r="D22" s="18"/>
      <c r="E22" s="19" t="s">
        <v>15</v>
      </c>
      <c r="F22" s="19" t="n">
        <v>2</v>
      </c>
      <c r="G22" s="19" t="n">
        <v>2</v>
      </c>
      <c r="H22" s="19" t="n">
        <f aca="false">F22-G22</f>
        <v>0</v>
      </c>
      <c r="I22" s="20"/>
      <c r="J22" s="26"/>
      <c r="K22" s="21" t="s">
        <v>70</v>
      </c>
    </row>
    <row r="23" customFormat="false" ht="15" hidden="false" customHeight="false" outlineLevel="0" collapsed="false">
      <c r="A23" s="27" t="s">
        <v>71</v>
      </c>
      <c r="B23" s="28" t="s">
        <v>72</v>
      </c>
      <c r="C23" s="13"/>
      <c r="D23" s="13"/>
      <c r="E23" s="14"/>
      <c r="F23" s="14" t="n">
        <f aca="false">SUM(F24:F48)</f>
        <v>137</v>
      </c>
      <c r="G23" s="14" t="n">
        <f aca="false">SUM(G24:G48)</f>
        <v>129</v>
      </c>
      <c r="H23" s="14" t="n">
        <f aca="false">SUM(H24:H48)</f>
        <v>8</v>
      </c>
      <c r="I23" s="13"/>
      <c r="J23" s="14"/>
      <c r="K23" s="14"/>
    </row>
    <row r="24" customFormat="false" ht="15" hidden="false" customHeight="false" outlineLevel="1" collapsed="false">
      <c r="A24" s="15" t="s">
        <v>73</v>
      </c>
      <c r="B24" s="16"/>
      <c r="C24" s="17" t="s">
        <v>74</v>
      </c>
      <c r="D24" s="18"/>
      <c r="E24" s="19" t="s">
        <v>15</v>
      </c>
      <c r="F24" s="19" t="n">
        <v>43</v>
      </c>
      <c r="G24" s="19" t="n">
        <f aca="false">F24</f>
        <v>43</v>
      </c>
      <c r="H24" s="19" t="n">
        <f aca="false">F24-G24</f>
        <v>0</v>
      </c>
      <c r="I24" s="20"/>
      <c r="J24" s="29" t="s">
        <v>75</v>
      </c>
      <c r="K24" s="30" t="s">
        <v>76</v>
      </c>
    </row>
    <row r="25" customFormat="false" ht="15" hidden="false" customHeight="false" outlineLevel="1" collapsed="false">
      <c r="A25" s="15" t="s">
        <v>77</v>
      </c>
      <c r="B25" s="16"/>
      <c r="C25" s="17" t="s">
        <v>78</v>
      </c>
      <c r="D25" s="18" t="n">
        <f aca="false">SUM(F25,F22,F20,F19,F18,F17,F16,F15,F14,F13,F12,F10,F9,F8,F7,F6)</f>
        <v>40</v>
      </c>
      <c r="E25" s="19"/>
      <c r="F25" s="19" t="n">
        <f aca="false">SUM(F26:F43)</f>
        <v>8</v>
      </c>
      <c r="G25" s="19" t="n">
        <f aca="false">SUM(G26:G43)</f>
        <v>8</v>
      </c>
      <c r="H25" s="19" t="n">
        <f aca="false">SUM(H26:H43)</f>
        <v>0</v>
      </c>
      <c r="I25" s="20"/>
      <c r="J25" s="29"/>
      <c r="K25" s="21"/>
    </row>
    <row r="26" customFormat="false" ht="15" hidden="false" customHeight="false" outlineLevel="2" collapsed="false">
      <c r="A26" s="16"/>
      <c r="B26" s="15" t="s">
        <v>79</v>
      </c>
      <c r="C26" s="17"/>
      <c r="D26" s="18" t="s">
        <v>80</v>
      </c>
      <c r="E26" s="19" t="s">
        <v>15</v>
      </c>
      <c r="F26" s="19"/>
      <c r="G26" s="19"/>
      <c r="H26" s="19"/>
      <c r="I26" s="20"/>
      <c r="J26" s="29" t="s">
        <v>81</v>
      </c>
      <c r="K26" s="21"/>
    </row>
    <row r="27" customFormat="false" ht="15" hidden="false" customHeight="false" outlineLevel="2" collapsed="false">
      <c r="A27" s="16"/>
      <c r="B27" s="15" t="s">
        <v>82</v>
      </c>
      <c r="C27" s="17"/>
      <c r="D27" s="18" t="s">
        <v>83</v>
      </c>
      <c r="E27" s="19" t="s">
        <v>15</v>
      </c>
      <c r="F27" s="19"/>
      <c r="G27" s="19"/>
      <c r="H27" s="19"/>
      <c r="I27" s="20"/>
      <c r="J27" s="29" t="s">
        <v>84</v>
      </c>
      <c r="K27" s="21"/>
    </row>
    <row r="28" customFormat="false" ht="15" hidden="false" customHeight="false" outlineLevel="2" collapsed="false">
      <c r="A28" s="16"/>
      <c r="B28" s="15" t="s">
        <v>85</v>
      </c>
      <c r="C28" s="17"/>
      <c r="D28" s="18" t="s">
        <v>26</v>
      </c>
      <c r="E28" s="19" t="s">
        <v>15</v>
      </c>
      <c r="F28" s="19"/>
      <c r="G28" s="19"/>
      <c r="H28" s="19"/>
      <c r="I28" s="20"/>
      <c r="J28" s="29" t="s">
        <v>86</v>
      </c>
      <c r="K28" s="21"/>
    </row>
    <row r="29" customFormat="false" ht="15" hidden="false" customHeight="false" outlineLevel="2" collapsed="false">
      <c r="A29" s="16"/>
      <c r="B29" s="15" t="s">
        <v>87</v>
      </c>
      <c r="C29" s="17"/>
      <c r="D29" s="18" t="s">
        <v>29</v>
      </c>
      <c r="E29" s="19" t="s">
        <v>15</v>
      </c>
      <c r="F29" s="19"/>
      <c r="G29" s="19"/>
      <c r="H29" s="19"/>
      <c r="I29" s="20"/>
      <c r="J29" s="29" t="s">
        <v>88</v>
      </c>
      <c r="K29" s="21"/>
    </row>
    <row r="30" customFormat="false" ht="15" hidden="false" customHeight="false" outlineLevel="2" collapsed="false">
      <c r="A30" s="16"/>
      <c r="B30" s="15" t="s">
        <v>89</v>
      </c>
      <c r="C30" s="17"/>
      <c r="D30" s="18" t="s">
        <v>32</v>
      </c>
      <c r="E30" s="19" t="s">
        <v>15</v>
      </c>
      <c r="F30" s="19"/>
      <c r="G30" s="19"/>
      <c r="H30" s="19"/>
      <c r="I30" s="20"/>
      <c r="J30" s="29" t="s">
        <v>90</v>
      </c>
      <c r="K30" s="21"/>
    </row>
    <row r="31" customFormat="false" ht="15" hidden="false" customHeight="false" outlineLevel="2" collapsed="false">
      <c r="A31" s="16"/>
      <c r="B31" s="15" t="s">
        <v>91</v>
      </c>
      <c r="C31" s="17"/>
      <c r="D31" s="18" t="s">
        <v>92</v>
      </c>
      <c r="E31" s="19" t="s">
        <v>15</v>
      </c>
      <c r="F31" s="19"/>
      <c r="G31" s="19"/>
      <c r="H31" s="19"/>
      <c r="I31" s="20"/>
      <c r="J31" s="29" t="s">
        <v>93</v>
      </c>
      <c r="K31" s="21"/>
    </row>
    <row r="32" customFormat="false" ht="15" hidden="false" customHeight="false" outlineLevel="2" collapsed="false">
      <c r="A32" s="16"/>
      <c r="B32" s="15" t="s">
        <v>94</v>
      </c>
      <c r="C32" s="17"/>
      <c r="D32" s="18" t="s">
        <v>37</v>
      </c>
      <c r="E32" s="19" t="s">
        <v>15</v>
      </c>
      <c r="F32" s="19"/>
      <c r="G32" s="19"/>
      <c r="H32" s="19"/>
      <c r="I32" s="20"/>
      <c r="J32" s="29" t="s">
        <v>95</v>
      </c>
      <c r="K32" s="21"/>
    </row>
    <row r="33" customFormat="false" ht="15" hidden="false" customHeight="false" outlineLevel="2" collapsed="false">
      <c r="A33" s="16"/>
      <c r="B33" s="15" t="s">
        <v>96</v>
      </c>
      <c r="C33" s="17"/>
      <c r="D33" s="18" t="s">
        <v>40</v>
      </c>
      <c r="E33" s="19" t="s">
        <v>15</v>
      </c>
      <c r="F33" s="19"/>
      <c r="G33" s="19"/>
      <c r="H33" s="19"/>
      <c r="I33" s="20"/>
      <c r="J33" s="29" t="s">
        <v>97</v>
      </c>
      <c r="K33" s="21"/>
    </row>
    <row r="34" customFormat="false" ht="15" hidden="false" customHeight="false" outlineLevel="2" collapsed="false">
      <c r="A34" s="16"/>
      <c r="B34" s="15" t="s">
        <v>98</v>
      </c>
      <c r="C34" s="17"/>
      <c r="D34" s="18" t="s">
        <v>43</v>
      </c>
      <c r="E34" s="19" t="s">
        <v>15</v>
      </c>
      <c r="F34" s="19"/>
      <c r="G34" s="19"/>
      <c r="H34" s="19"/>
      <c r="I34" s="20"/>
      <c r="J34" s="29" t="s">
        <v>99</v>
      </c>
      <c r="K34" s="21"/>
    </row>
    <row r="35" customFormat="false" ht="15" hidden="false" customHeight="false" outlineLevel="2" collapsed="false">
      <c r="A35" s="16"/>
      <c r="B35" s="15" t="s">
        <v>100</v>
      </c>
      <c r="C35" s="17"/>
      <c r="D35" s="18" t="s">
        <v>46</v>
      </c>
      <c r="E35" s="19" t="s">
        <v>15</v>
      </c>
      <c r="F35" s="19"/>
      <c r="G35" s="19"/>
      <c r="H35" s="19"/>
      <c r="I35" s="20"/>
      <c r="J35" s="29" t="s">
        <v>101</v>
      </c>
      <c r="K35" s="21"/>
    </row>
    <row r="36" customFormat="false" ht="15" hidden="false" customHeight="false" outlineLevel="2" collapsed="false">
      <c r="A36" s="16"/>
      <c r="B36" s="15" t="s">
        <v>102</v>
      </c>
      <c r="C36" s="17"/>
      <c r="D36" s="18" t="s">
        <v>49</v>
      </c>
      <c r="E36" s="19" t="s">
        <v>15</v>
      </c>
      <c r="F36" s="19"/>
      <c r="G36" s="19"/>
      <c r="H36" s="19"/>
      <c r="I36" s="20"/>
      <c r="J36" s="29" t="s">
        <v>103</v>
      </c>
      <c r="K36" s="21"/>
    </row>
    <row r="37" customFormat="false" ht="15" hidden="false" customHeight="false" outlineLevel="2" collapsed="false">
      <c r="A37" s="16"/>
      <c r="B37" s="15" t="s">
        <v>104</v>
      </c>
      <c r="C37" s="17"/>
      <c r="D37" s="18" t="s">
        <v>52</v>
      </c>
      <c r="E37" s="19" t="s">
        <v>15</v>
      </c>
      <c r="F37" s="19"/>
      <c r="G37" s="19"/>
      <c r="H37" s="19"/>
      <c r="I37" s="20"/>
      <c r="J37" s="29" t="s">
        <v>105</v>
      </c>
      <c r="K37" s="21"/>
    </row>
    <row r="38" customFormat="false" ht="15" hidden="false" customHeight="false" outlineLevel="2" collapsed="false">
      <c r="A38" s="16"/>
      <c r="B38" s="15" t="s">
        <v>106</v>
      </c>
      <c r="C38" s="17"/>
      <c r="D38" s="18" t="s">
        <v>107</v>
      </c>
      <c r="E38" s="19" t="s">
        <v>15</v>
      </c>
      <c r="F38" s="19" t="n">
        <v>3</v>
      </c>
      <c r="G38" s="19" t="n">
        <v>3</v>
      </c>
      <c r="H38" s="19" t="n">
        <f aca="false">F38-G38</f>
        <v>0</v>
      </c>
      <c r="I38" s="20"/>
      <c r="J38" s="29"/>
      <c r="K38" s="21" t="s">
        <v>108</v>
      </c>
    </row>
    <row r="39" customFormat="false" ht="15" hidden="false" customHeight="false" outlineLevel="2" collapsed="false">
      <c r="A39" s="16"/>
      <c r="B39" s="15" t="s">
        <v>109</v>
      </c>
      <c r="C39" s="17"/>
      <c r="D39" s="18" t="s">
        <v>55</v>
      </c>
      <c r="E39" s="19" t="s">
        <v>15</v>
      </c>
      <c r="F39" s="19"/>
      <c r="G39" s="19"/>
      <c r="H39" s="19"/>
      <c r="I39" s="20"/>
      <c r="J39" s="29" t="s">
        <v>110</v>
      </c>
      <c r="K39" s="21"/>
    </row>
    <row r="40" customFormat="false" ht="15" hidden="false" customHeight="false" outlineLevel="2" collapsed="false">
      <c r="A40" s="16"/>
      <c r="B40" s="15" t="s">
        <v>111</v>
      </c>
      <c r="C40" s="17"/>
      <c r="D40" s="18" t="s">
        <v>58</v>
      </c>
      <c r="E40" s="19" t="s">
        <v>15</v>
      </c>
      <c r="F40" s="19"/>
      <c r="G40" s="19"/>
      <c r="H40" s="19"/>
      <c r="I40" s="20"/>
      <c r="J40" s="29" t="s">
        <v>112</v>
      </c>
      <c r="K40" s="21"/>
    </row>
    <row r="41" customFormat="false" ht="15" hidden="false" customHeight="false" outlineLevel="2" collapsed="false">
      <c r="A41" s="16"/>
      <c r="B41" s="15" t="s">
        <v>113</v>
      </c>
      <c r="C41" s="17"/>
      <c r="D41" s="18" t="s">
        <v>61</v>
      </c>
      <c r="E41" s="19" t="s">
        <v>62</v>
      </c>
      <c r="F41" s="19"/>
      <c r="G41" s="19"/>
      <c r="H41" s="19"/>
      <c r="I41" s="20"/>
      <c r="J41" s="29" t="s">
        <v>114</v>
      </c>
      <c r="K41" s="21"/>
    </row>
    <row r="42" customFormat="false" ht="15" hidden="false" customHeight="false" outlineLevel="2" collapsed="false">
      <c r="A42" s="16"/>
      <c r="B42" s="15" t="s">
        <v>115</v>
      </c>
      <c r="C42" s="17"/>
      <c r="D42" s="18" t="s">
        <v>69</v>
      </c>
      <c r="E42" s="19" t="s">
        <v>15</v>
      </c>
      <c r="F42" s="19"/>
      <c r="G42" s="19"/>
      <c r="H42" s="19"/>
      <c r="I42" s="20"/>
      <c r="J42" s="21" t="s">
        <v>116</v>
      </c>
      <c r="K42" s="21"/>
    </row>
    <row r="43" customFormat="false" ht="15" hidden="false" customHeight="false" outlineLevel="2" collapsed="false">
      <c r="A43" s="16"/>
      <c r="B43" s="15" t="s">
        <v>117</v>
      </c>
      <c r="C43" s="17"/>
      <c r="D43" s="18" t="s">
        <v>118</v>
      </c>
      <c r="E43" s="19" t="s">
        <v>15</v>
      </c>
      <c r="F43" s="19" t="n">
        <v>5</v>
      </c>
      <c r="G43" s="19" t="n">
        <v>5</v>
      </c>
      <c r="H43" s="19" t="n">
        <f aca="false">F43-G43</f>
        <v>0</v>
      </c>
      <c r="I43" s="20"/>
      <c r="J43" s="21"/>
      <c r="K43" s="21" t="s">
        <v>119</v>
      </c>
    </row>
    <row r="44" customFormat="false" ht="15" hidden="false" customHeight="false" outlineLevel="1" collapsed="false">
      <c r="A44" s="15" t="s">
        <v>120</v>
      </c>
      <c r="B44" s="16"/>
      <c r="C44" s="17" t="s">
        <v>121</v>
      </c>
      <c r="D44" s="18"/>
      <c r="E44" s="19" t="s">
        <v>15</v>
      </c>
      <c r="F44" s="19" t="n">
        <v>8</v>
      </c>
      <c r="G44" s="19" t="n">
        <v>4</v>
      </c>
      <c r="H44" s="19" t="n">
        <f aca="false">F44-G44</f>
        <v>4</v>
      </c>
      <c r="I44" s="20"/>
      <c r="J44" s="21"/>
      <c r="K44" s="21" t="s">
        <v>122</v>
      </c>
    </row>
    <row r="45" customFormat="false" ht="15" hidden="false" customHeight="false" outlineLevel="1" collapsed="false">
      <c r="A45" s="15" t="s">
        <v>123</v>
      </c>
      <c r="B45" s="16"/>
      <c r="C45" s="17" t="s">
        <v>124</v>
      </c>
      <c r="D45" s="18"/>
      <c r="E45" s="19" t="s">
        <v>15</v>
      </c>
      <c r="F45" s="19" t="n">
        <v>6</v>
      </c>
      <c r="G45" s="19" t="n">
        <v>2</v>
      </c>
      <c r="H45" s="19" t="n">
        <f aca="false">F45-G45</f>
        <v>4</v>
      </c>
      <c r="I45" s="20"/>
      <c r="J45" s="21"/>
      <c r="K45" s="21" t="s">
        <v>125</v>
      </c>
    </row>
    <row r="46" customFormat="false" ht="15" hidden="false" customHeight="false" outlineLevel="1" collapsed="false">
      <c r="A46" s="15" t="s">
        <v>126</v>
      </c>
      <c r="B46" s="16"/>
      <c r="C46" s="17" t="s">
        <v>127</v>
      </c>
      <c r="D46" s="18"/>
      <c r="E46" s="19" t="s">
        <v>15</v>
      </c>
      <c r="F46" s="19" t="n">
        <v>33</v>
      </c>
      <c r="G46" s="19" t="n">
        <v>33</v>
      </c>
      <c r="H46" s="19" t="n">
        <f aca="false">F46-G46</f>
        <v>0</v>
      </c>
      <c r="I46" s="20"/>
      <c r="J46" s="21" t="s">
        <v>128</v>
      </c>
      <c r="K46" s="30" t="s">
        <v>129</v>
      </c>
    </row>
    <row r="47" customFormat="false" ht="15" hidden="false" customHeight="false" outlineLevel="1" collapsed="false">
      <c r="A47" s="15" t="s">
        <v>130</v>
      </c>
      <c r="B47" s="16"/>
      <c r="C47" s="17" t="s">
        <v>131</v>
      </c>
      <c r="D47" s="18"/>
      <c r="E47" s="19" t="s">
        <v>15</v>
      </c>
      <c r="F47" s="19" t="n">
        <v>21</v>
      </c>
      <c r="G47" s="19" t="n">
        <v>21</v>
      </c>
      <c r="H47" s="19" t="n">
        <f aca="false">F47-G47</f>
        <v>0</v>
      </c>
      <c r="I47" s="20"/>
      <c r="J47" s="21"/>
      <c r="K47" s="21" t="s">
        <v>132</v>
      </c>
    </row>
    <row r="48" customFormat="false" ht="15" hidden="false" customHeight="false" outlineLevel="1" collapsed="false">
      <c r="A48" s="15" t="s">
        <v>133</v>
      </c>
      <c r="B48" s="16"/>
      <c r="C48" s="17" t="s">
        <v>134</v>
      </c>
      <c r="D48" s="18"/>
      <c r="E48" s="19" t="s">
        <v>15</v>
      </c>
      <c r="F48" s="19" t="n">
        <v>10</v>
      </c>
      <c r="G48" s="19" t="n">
        <v>10</v>
      </c>
      <c r="H48" s="19" t="n">
        <f aca="false">F48-G48</f>
        <v>0</v>
      </c>
      <c r="I48" s="20"/>
      <c r="J48" s="21"/>
      <c r="K48" s="21"/>
    </row>
    <row r="49" customFormat="false" ht="15" hidden="false" customHeight="false" outlineLevel="0" collapsed="false">
      <c r="A49" s="31" t="s">
        <v>135</v>
      </c>
      <c r="B49" s="32" t="s">
        <v>136</v>
      </c>
      <c r="C49" s="13"/>
      <c r="D49" s="13"/>
      <c r="E49" s="14"/>
      <c r="F49" s="14" t="n">
        <f aca="false">SUM(F50:F66)</f>
        <v>110</v>
      </c>
      <c r="G49" s="14" t="n">
        <f aca="false">SUM(G50:G66)</f>
        <v>96</v>
      </c>
      <c r="H49" s="14" t="n">
        <f aca="false">SUM(H50:H66)</f>
        <v>14</v>
      </c>
      <c r="I49" s="13"/>
      <c r="J49" s="14"/>
      <c r="K49" s="14"/>
    </row>
    <row r="50" customFormat="false" ht="15" hidden="false" customHeight="false" outlineLevel="1" collapsed="false">
      <c r="A50" s="15" t="s">
        <v>137</v>
      </c>
      <c r="B50" s="16"/>
      <c r="C50" s="17" t="s">
        <v>138</v>
      </c>
      <c r="D50" s="18"/>
      <c r="E50" s="19"/>
      <c r="F50" s="19"/>
      <c r="G50" s="19"/>
      <c r="H50" s="19"/>
      <c r="I50" s="20"/>
      <c r="J50" s="21"/>
      <c r="K50" s="21"/>
    </row>
    <row r="51" customFormat="false" ht="15" hidden="false" customHeight="false" outlineLevel="2" collapsed="false">
      <c r="A51" s="16"/>
      <c r="B51" s="15" t="s">
        <v>139</v>
      </c>
      <c r="C51" s="17"/>
      <c r="D51" s="18" t="s">
        <v>140</v>
      </c>
      <c r="E51" s="19" t="s">
        <v>15</v>
      </c>
      <c r="F51" s="19" t="n">
        <v>3</v>
      </c>
      <c r="G51" s="19" t="n">
        <v>2</v>
      </c>
      <c r="H51" s="19" t="n">
        <f aca="false">F51-G51</f>
        <v>1</v>
      </c>
      <c r="I51" s="20"/>
      <c r="J51" s="21"/>
      <c r="K51" s="21" t="s">
        <v>141</v>
      </c>
    </row>
    <row r="52" customFormat="false" ht="15" hidden="false" customHeight="false" outlineLevel="2" collapsed="false">
      <c r="A52" s="16"/>
      <c r="B52" s="15" t="s">
        <v>142</v>
      </c>
      <c r="C52" s="17"/>
      <c r="D52" s="18" t="s">
        <v>143</v>
      </c>
      <c r="E52" s="19" t="s">
        <v>62</v>
      </c>
      <c r="F52" s="19" t="n">
        <v>49</v>
      </c>
      <c r="G52" s="19" t="n">
        <v>44</v>
      </c>
      <c r="H52" s="19" t="n">
        <f aca="false">F52-G52</f>
        <v>5</v>
      </c>
      <c r="I52" s="20"/>
      <c r="J52" s="33"/>
      <c r="K52" s="21" t="s">
        <v>144</v>
      </c>
    </row>
    <row r="53" customFormat="false" ht="15" hidden="false" customHeight="false" outlineLevel="1" collapsed="false">
      <c r="A53" s="15" t="s">
        <v>145</v>
      </c>
      <c r="B53" s="16"/>
      <c r="C53" s="17" t="s">
        <v>146</v>
      </c>
      <c r="D53" s="18"/>
      <c r="E53" s="19"/>
      <c r="F53" s="19"/>
      <c r="G53" s="19"/>
      <c r="H53" s="19"/>
      <c r="I53" s="20"/>
      <c r="J53" s="21"/>
      <c r="K53" s="21"/>
    </row>
    <row r="54" customFormat="false" ht="15" hidden="false" customHeight="false" outlineLevel="2" collapsed="false">
      <c r="A54" s="15"/>
      <c r="B54" s="15" t="s">
        <v>147</v>
      </c>
      <c r="C54" s="17"/>
      <c r="D54" s="18" t="s">
        <v>148</v>
      </c>
      <c r="E54" s="19" t="s">
        <v>15</v>
      </c>
      <c r="F54" s="19" t="n">
        <v>1</v>
      </c>
      <c r="G54" s="19" t="n">
        <v>1</v>
      </c>
      <c r="H54" s="19" t="n">
        <f aca="false">F54-G54</f>
        <v>0</v>
      </c>
      <c r="I54" s="20"/>
      <c r="J54" s="21"/>
      <c r="K54" s="21" t="s">
        <v>149</v>
      </c>
    </row>
    <row r="55" customFormat="false" ht="15" hidden="false" customHeight="false" outlineLevel="2" collapsed="false">
      <c r="A55" s="15"/>
      <c r="B55" s="15" t="s">
        <v>150</v>
      </c>
      <c r="C55" s="17"/>
      <c r="D55" s="18" t="s">
        <v>151</v>
      </c>
      <c r="E55" s="19" t="s">
        <v>15</v>
      </c>
      <c r="F55" s="19" t="n">
        <v>1</v>
      </c>
      <c r="G55" s="19" t="n">
        <v>1</v>
      </c>
      <c r="H55" s="19" t="n">
        <f aca="false">F55-G55</f>
        <v>0</v>
      </c>
      <c r="I55" s="20"/>
      <c r="J55" s="21"/>
      <c r="K55" s="21" t="s">
        <v>152</v>
      </c>
    </row>
    <row r="56" customFormat="false" ht="46.25" hidden="false" customHeight="false" outlineLevel="2" collapsed="false">
      <c r="A56" s="15"/>
      <c r="B56" s="15" t="s">
        <v>153</v>
      </c>
      <c r="C56" s="17"/>
      <c r="D56" s="18" t="s">
        <v>154</v>
      </c>
      <c r="E56" s="19" t="s">
        <v>62</v>
      </c>
      <c r="F56" s="19" t="n">
        <v>6</v>
      </c>
      <c r="G56" s="19" t="n">
        <v>5</v>
      </c>
      <c r="H56" s="19" t="n">
        <f aca="false">F56-G56</f>
        <v>1</v>
      </c>
      <c r="I56" s="20"/>
      <c r="J56" s="21"/>
      <c r="K56" s="21" t="s">
        <v>155</v>
      </c>
    </row>
    <row r="57" customFormat="false" ht="15" hidden="false" customHeight="false" outlineLevel="1" collapsed="false">
      <c r="A57" s="15" t="s">
        <v>156</v>
      </c>
      <c r="B57" s="16"/>
      <c r="C57" s="17" t="s">
        <v>157</v>
      </c>
      <c r="D57" s="18"/>
      <c r="E57" s="19" t="s">
        <v>15</v>
      </c>
      <c r="F57" s="19" t="n">
        <v>4</v>
      </c>
      <c r="G57" s="19" t="n">
        <v>4</v>
      </c>
      <c r="H57" s="19" t="n">
        <f aca="false">F57-G57</f>
        <v>0</v>
      </c>
      <c r="I57" s="20"/>
      <c r="J57" s="21"/>
      <c r="K57" s="21" t="s">
        <v>158</v>
      </c>
    </row>
    <row r="58" customFormat="false" ht="15" hidden="false" customHeight="false" outlineLevel="1" collapsed="false">
      <c r="A58" s="15" t="s">
        <v>159</v>
      </c>
      <c r="B58" s="16"/>
      <c r="C58" s="17" t="s">
        <v>160</v>
      </c>
      <c r="D58" s="18"/>
      <c r="E58" s="19" t="s">
        <v>15</v>
      </c>
      <c r="F58" s="19" t="n">
        <v>7</v>
      </c>
      <c r="G58" s="19" t="n">
        <v>7</v>
      </c>
      <c r="H58" s="19" t="n">
        <f aca="false">F58-G58</f>
        <v>0</v>
      </c>
      <c r="I58" s="20"/>
      <c r="J58" s="21"/>
      <c r="K58" s="21" t="s">
        <v>161</v>
      </c>
    </row>
    <row r="59" customFormat="false" ht="15" hidden="false" customHeight="false" outlineLevel="1" collapsed="false">
      <c r="A59" s="15" t="s">
        <v>162</v>
      </c>
      <c r="B59" s="16"/>
      <c r="C59" s="17" t="s">
        <v>163</v>
      </c>
      <c r="D59" s="18"/>
      <c r="E59" s="19" t="s">
        <v>15</v>
      </c>
      <c r="F59" s="19" t="n">
        <v>6</v>
      </c>
      <c r="G59" s="19" t="n">
        <v>5</v>
      </c>
      <c r="H59" s="19" t="n">
        <f aca="false">F59-G59</f>
        <v>1</v>
      </c>
      <c r="I59" s="20"/>
      <c r="J59" s="21"/>
      <c r="K59" s="21" t="s">
        <v>164</v>
      </c>
      <c r="L59" s="34" t="s">
        <v>165</v>
      </c>
    </row>
    <row r="60" customFormat="false" ht="15" hidden="false" customHeight="false" outlineLevel="1" collapsed="false">
      <c r="A60" s="15" t="s">
        <v>166</v>
      </c>
      <c r="B60" s="16"/>
      <c r="C60" s="17" t="s">
        <v>167</v>
      </c>
      <c r="D60" s="18"/>
      <c r="E60" s="19"/>
      <c r="F60" s="19"/>
      <c r="G60" s="19"/>
      <c r="H60" s="19"/>
      <c r="I60" s="20"/>
      <c r="J60" s="21"/>
      <c r="K60" s="21"/>
    </row>
    <row r="61" customFormat="false" ht="15" hidden="false" customHeight="false" outlineLevel="2" collapsed="false">
      <c r="A61" s="16"/>
      <c r="B61" s="15" t="s">
        <v>168</v>
      </c>
      <c r="C61" s="17"/>
      <c r="D61" s="18" t="s">
        <v>169</v>
      </c>
      <c r="E61" s="19" t="s">
        <v>15</v>
      </c>
      <c r="F61" s="19" t="n">
        <v>7</v>
      </c>
      <c r="G61" s="19" t="n">
        <v>7</v>
      </c>
      <c r="H61" s="19" t="n">
        <f aca="false">F61-G61</f>
        <v>0</v>
      </c>
      <c r="I61" s="20"/>
      <c r="J61" s="21"/>
      <c r="K61" s="21" t="s">
        <v>170</v>
      </c>
    </row>
    <row r="62" customFormat="false" ht="15" hidden="false" customHeight="false" outlineLevel="2" collapsed="false">
      <c r="A62" s="16"/>
      <c r="B62" s="15" t="s">
        <v>171</v>
      </c>
      <c r="C62" s="17"/>
      <c r="D62" s="18" t="s">
        <v>172</v>
      </c>
      <c r="E62" s="19" t="s">
        <v>15</v>
      </c>
      <c r="F62" s="19" t="n">
        <v>2</v>
      </c>
      <c r="G62" s="19" t="n">
        <v>0</v>
      </c>
      <c r="H62" s="19" t="n">
        <f aca="false">F62-G62</f>
        <v>2</v>
      </c>
      <c r="I62" s="20"/>
      <c r="J62" s="21"/>
      <c r="K62" s="21"/>
    </row>
    <row r="63" customFormat="false" ht="15" hidden="false" customHeight="false" outlineLevel="2" collapsed="false">
      <c r="A63" s="16"/>
      <c r="B63" s="15" t="s">
        <v>173</v>
      </c>
      <c r="C63" s="17"/>
      <c r="D63" s="18" t="s">
        <v>174</v>
      </c>
      <c r="E63" s="19" t="s">
        <v>15</v>
      </c>
      <c r="F63" s="19" t="n">
        <v>3</v>
      </c>
      <c r="G63" s="19" t="n">
        <v>1</v>
      </c>
      <c r="H63" s="19" t="n">
        <f aca="false">F63-G63</f>
        <v>2</v>
      </c>
      <c r="I63" s="20"/>
      <c r="J63" s="21"/>
      <c r="K63" s="21" t="s">
        <v>175</v>
      </c>
    </row>
    <row r="64" customFormat="false" ht="15" hidden="false" customHeight="false" outlineLevel="2" collapsed="false">
      <c r="A64" s="16"/>
      <c r="B64" s="15" t="s">
        <v>176</v>
      </c>
      <c r="C64" s="17"/>
      <c r="D64" s="18" t="s">
        <v>177</v>
      </c>
      <c r="E64" s="19" t="s">
        <v>15</v>
      </c>
      <c r="F64" s="19" t="n">
        <v>3</v>
      </c>
      <c r="G64" s="19" t="n">
        <v>3</v>
      </c>
      <c r="H64" s="19" t="n">
        <f aca="false">F64-G64</f>
        <v>0</v>
      </c>
      <c r="I64" s="20"/>
      <c r="J64" s="21"/>
      <c r="K64" s="21" t="s">
        <v>178</v>
      </c>
    </row>
    <row r="65" customFormat="false" ht="46.3" hidden="false" customHeight="true" outlineLevel="1" collapsed="false">
      <c r="A65" s="15" t="s">
        <v>179</v>
      </c>
      <c r="B65" s="16"/>
      <c r="C65" s="17" t="s">
        <v>180</v>
      </c>
      <c r="D65" s="18"/>
      <c r="E65" s="19" t="s">
        <v>62</v>
      </c>
      <c r="F65" s="19" t="n">
        <v>6</v>
      </c>
      <c r="G65" s="19" t="n">
        <v>4</v>
      </c>
      <c r="H65" s="19" t="n">
        <f aca="false">F65-G65</f>
        <v>2</v>
      </c>
      <c r="I65" s="20"/>
      <c r="J65" s="21" t="s">
        <v>181</v>
      </c>
      <c r="K65" s="30" t="s">
        <v>182</v>
      </c>
    </row>
    <row r="66" customFormat="false" ht="58.1" hidden="false" customHeight="true" outlineLevel="1" collapsed="false">
      <c r="A66" s="15" t="s">
        <v>183</v>
      </c>
      <c r="B66" s="16"/>
      <c r="C66" s="17" t="s">
        <v>184</v>
      </c>
      <c r="D66" s="18"/>
      <c r="E66" s="19" t="s">
        <v>62</v>
      </c>
      <c r="F66" s="19" t="n">
        <v>12</v>
      </c>
      <c r="G66" s="19" t="n">
        <v>12</v>
      </c>
      <c r="H66" s="19" t="n">
        <f aca="false">F66-G66</f>
        <v>0</v>
      </c>
      <c r="I66" s="20"/>
      <c r="J66" s="21" t="s">
        <v>185</v>
      </c>
      <c r="K66" s="30" t="s">
        <v>186</v>
      </c>
    </row>
    <row r="67" customFormat="false" ht="29.85" hidden="false" customHeight="true" outlineLevel="0" collapsed="false">
      <c r="A67" s="31" t="s">
        <v>187</v>
      </c>
      <c r="B67" s="32" t="s">
        <v>188</v>
      </c>
      <c r="C67" s="13"/>
      <c r="D67" s="13"/>
      <c r="E67" s="14"/>
      <c r="F67" s="14" t="n">
        <f aca="false">SUM(F68:F108)</f>
        <v>52</v>
      </c>
      <c r="G67" s="14" t="n">
        <f aca="false">SUM(G68:G108)</f>
        <v>29</v>
      </c>
      <c r="H67" s="14" t="n">
        <f aca="false">SUM(H68:H108)</f>
        <v>23</v>
      </c>
      <c r="I67" s="13"/>
      <c r="J67" s="14"/>
      <c r="K67" s="14"/>
    </row>
    <row r="68" customFormat="false" ht="15" hidden="false" customHeight="false" outlineLevel="1" collapsed="false">
      <c r="A68" s="15" t="s">
        <v>189</v>
      </c>
      <c r="B68" s="16"/>
      <c r="C68" s="17" t="s">
        <v>190</v>
      </c>
      <c r="D68" s="18"/>
      <c r="E68" s="19"/>
      <c r="F68" s="19"/>
      <c r="G68" s="19"/>
      <c r="H68" s="19"/>
      <c r="I68" s="20"/>
      <c r="J68" s="21"/>
      <c r="K68" s="21"/>
    </row>
    <row r="69" customFormat="false" ht="17.9" hidden="false" customHeight="false" outlineLevel="2" collapsed="false">
      <c r="A69" s="16"/>
      <c r="B69" s="15" t="s">
        <v>191</v>
      </c>
      <c r="C69" s="35"/>
      <c r="D69" s="36" t="s">
        <v>192</v>
      </c>
      <c r="E69" s="19" t="s">
        <v>15</v>
      </c>
      <c r="F69" s="19" t="n">
        <v>0</v>
      </c>
      <c r="G69" s="19" t="n">
        <v>0</v>
      </c>
      <c r="H69" s="19" t="n">
        <f aca="false">F69-G69</f>
        <v>0</v>
      </c>
      <c r="I69" s="20"/>
      <c r="J69" s="21"/>
      <c r="K69" s="21" t="s">
        <v>193</v>
      </c>
    </row>
    <row r="70" customFormat="false" ht="17.9" hidden="false" customHeight="false" outlineLevel="2" collapsed="false">
      <c r="A70" s="16"/>
      <c r="B70" s="15" t="s">
        <v>194</v>
      </c>
      <c r="C70" s="35"/>
      <c r="D70" s="36" t="s">
        <v>195</v>
      </c>
      <c r="E70" s="19" t="s">
        <v>15</v>
      </c>
      <c r="F70" s="19" t="n">
        <v>0</v>
      </c>
      <c r="G70" s="19" t="n">
        <v>0</v>
      </c>
      <c r="H70" s="19" t="n">
        <f aca="false">F70-G70</f>
        <v>0</v>
      </c>
      <c r="I70" s="20"/>
      <c r="J70" s="21"/>
      <c r="K70" s="21" t="s">
        <v>193</v>
      </c>
    </row>
    <row r="71" customFormat="false" ht="17.9" hidden="false" customHeight="false" outlineLevel="2" collapsed="false">
      <c r="A71" s="16"/>
      <c r="B71" s="15" t="s">
        <v>196</v>
      </c>
      <c r="C71" s="35"/>
      <c r="D71" s="36" t="s">
        <v>197</v>
      </c>
      <c r="E71" s="19" t="s">
        <v>15</v>
      </c>
      <c r="F71" s="19" t="n">
        <v>0</v>
      </c>
      <c r="G71" s="19" t="n">
        <v>0</v>
      </c>
      <c r="H71" s="19" t="n">
        <f aca="false">F71-G71</f>
        <v>0</v>
      </c>
      <c r="I71" s="20"/>
      <c r="J71" s="21"/>
      <c r="K71" s="21" t="s">
        <v>193</v>
      </c>
    </row>
    <row r="72" customFormat="false" ht="17.9" hidden="false" customHeight="false" outlineLevel="2" collapsed="false">
      <c r="A72" s="16"/>
      <c r="B72" s="15" t="s">
        <v>198</v>
      </c>
      <c r="C72" s="35"/>
      <c r="D72" s="36" t="s">
        <v>199</v>
      </c>
      <c r="E72" s="19" t="s">
        <v>15</v>
      </c>
      <c r="F72" s="19" t="n">
        <v>0</v>
      </c>
      <c r="G72" s="19" t="n">
        <v>0</v>
      </c>
      <c r="H72" s="19" t="n">
        <f aca="false">F72-G72</f>
        <v>0</v>
      </c>
      <c r="I72" s="20"/>
      <c r="J72" s="21"/>
      <c r="K72" s="21" t="s">
        <v>193</v>
      </c>
    </row>
    <row r="73" customFormat="false" ht="17.9" hidden="false" customHeight="false" outlineLevel="2" collapsed="false">
      <c r="A73" s="16"/>
      <c r="B73" s="15" t="s">
        <v>200</v>
      </c>
      <c r="C73" s="35"/>
      <c r="D73" s="36" t="s">
        <v>201</v>
      </c>
      <c r="E73" s="19" t="s">
        <v>15</v>
      </c>
      <c r="F73" s="19" t="n">
        <v>0</v>
      </c>
      <c r="G73" s="19" t="n">
        <v>0</v>
      </c>
      <c r="H73" s="19" t="n">
        <f aca="false">F73-G73</f>
        <v>0</v>
      </c>
      <c r="I73" s="20"/>
      <c r="J73" s="21"/>
      <c r="K73" s="21" t="s">
        <v>193</v>
      </c>
    </row>
    <row r="74" customFormat="false" ht="15" hidden="false" customHeight="false" outlineLevel="1" collapsed="false">
      <c r="A74" s="15" t="s">
        <v>202</v>
      </c>
      <c r="B74" s="16"/>
      <c r="C74" s="17" t="s">
        <v>203</v>
      </c>
      <c r="D74" s="18"/>
      <c r="E74" s="19"/>
      <c r="F74" s="19"/>
      <c r="G74" s="19"/>
      <c r="H74" s="19"/>
      <c r="I74" s="20"/>
      <c r="J74" s="21"/>
      <c r="K74" s="21"/>
    </row>
    <row r="75" customFormat="false" ht="15" hidden="false" customHeight="false" outlineLevel="2" collapsed="false">
      <c r="A75" s="16"/>
      <c r="B75" s="15" t="s">
        <v>204</v>
      </c>
      <c r="C75" s="35"/>
      <c r="D75" s="36" t="s">
        <v>205</v>
      </c>
      <c r="E75" s="19" t="s">
        <v>15</v>
      </c>
      <c r="F75" s="19" t="n">
        <v>2</v>
      </c>
      <c r="G75" s="19" t="n">
        <v>2</v>
      </c>
      <c r="H75" s="19" t="n">
        <f aca="false">F75-G75</f>
        <v>0</v>
      </c>
      <c r="I75" s="20"/>
      <c r="J75" s="21"/>
      <c r="K75" s="21" t="s">
        <v>206</v>
      </c>
    </row>
    <row r="76" customFormat="false" ht="15" hidden="false" customHeight="false" outlineLevel="2" collapsed="false">
      <c r="A76" s="16"/>
      <c r="B76" s="15" t="s">
        <v>207</v>
      </c>
      <c r="C76" s="35"/>
      <c r="D76" s="36" t="s">
        <v>208</v>
      </c>
      <c r="E76" s="19" t="s">
        <v>15</v>
      </c>
      <c r="F76" s="19" t="n">
        <v>2</v>
      </c>
      <c r="G76" s="19" t="n">
        <v>0</v>
      </c>
      <c r="H76" s="19" t="n">
        <f aca="false">F76-G76</f>
        <v>2</v>
      </c>
      <c r="I76" s="20"/>
      <c r="J76" s="21"/>
      <c r="K76" s="21" t="s">
        <v>209</v>
      </c>
    </row>
    <row r="77" customFormat="false" ht="15" hidden="false" customHeight="false" outlineLevel="2" collapsed="false">
      <c r="A77" s="16"/>
      <c r="B77" s="15" t="s">
        <v>210</v>
      </c>
      <c r="C77" s="35"/>
      <c r="D77" s="36" t="s">
        <v>211</v>
      </c>
      <c r="E77" s="19" t="s">
        <v>15</v>
      </c>
      <c r="F77" s="19" t="n">
        <v>1</v>
      </c>
      <c r="G77" s="19" t="n">
        <v>0</v>
      </c>
      <c r="H77" s="19" t="n">
        <f aca="false">F77-G77</f>
        <v>1</v>
      </c>
      <c r="I77" s="20"/>
      <c r="J77" s="21"/>
      <c r="K77" s="21" t="s">
        <v>212</v>
      </c>
    </row>
    <row r="78" customFormat="false" ht="15" hidden="false" customHeight="false" outlineLevel="2" collapsed="false">
      <c r="A78" s="16"/>
      <c r="B78" s="15" t="s">
        <v>213</v>
      </c>
      <c r="C78" s="35"/>
      <c r="D78" s="36" t="s">
        <v>214</v>
      </c>
      <c r="E78" s="19" t="s">
        <v>15</v>
      </c>
      <c r="F78" s="19" t="n">
        <v>1</v>
      </c>
      <c r="G78" s="19" t="n">
        <v>0</v>
      </c>
      <c r="H78" s="19" t="n">
        <f aca="false">F78-G78</f>
        <v>1</v>
      </c>
      <c r="I78" s="20"/>
      <c r="J78" s="21"/>
      <c r="K78" s="21" t="s">
        <v>215</v>
      </c>
    </row>
    <row r="79" customFormat="false" ht="15" hidden="false" customHeight="false" outlineLevel="2" collapsed="false">
      <c r="A79" s="16"/>
      <c r="B79" s="15" t="s">
        <v>216</v>
      </c>
      <c r="C79" s="35"/>
      <c r="D79" s="36" t="s">
        <v>217</v>
      </c>
      <c r="E79" s="19" t="s">
        <v>15</v>
      </c>
      <c r="F79" s="19" t="n">
        <v>2</v>
      </c>
      <c r="G79" s="19" t="n">
        <v>0</v>
      </c>
      <c r="H79" s="19" t="n">
        <f aca="false">F79-G79</f>
        <v>2</v>
      </c>
      <c r="I79" s="20"/>
      <c r="J79" s="21"/>
      <c r="K79" s="21" t="s">
        <v>218</v>
      </c>
    </row>
    <row r="80" customFormat="false" ht="15" hidden="false" customHeight="false" outlineLevel="2" collapsed="false">
      <c r="A80" s="16"/>
      <c r="B80" s="15" t="s">
        <v>219</v>
      </c>
      <c r="C80" s="35"/>
      <c r="D80" s="36" t="s">
        <v>220</v>
      </c>
      <c r="E80" s="19" t="s">
        <v>15</v>
      </c>
      <c r="F80" s="19" t="n">
        <v>3</v>
      </c>
      <c r="G80" s="19" t="n">
        <v>0</v>
      </c>
      <c r="H80" s="19" t="n">
        <f aca="false">F80-G80</f>
        <v>3</v>
      </c>
      <c r="I80" s="20"/>
      <c r="J80" s="21"/>
      <c r="K80" s="21" t="s">
        <v>221</v>
      </c>
    </row>
    <row r="81" customFormat="false" ht="20.1" hidden="false" customHeight="true" outlineLevel="2" collapsed="false">
      <c r="A81" s="16"/>
      <c r="B81" s="15" t="s">
        <v>222</v>
      </c>
      <c r="C81" s="35"/>
      <c r="D81" s="36" t="s">
        <v>223</v>
      </c>
      <c r="E81" s="19" t="s">
        <v>15</v>
      </c>
      <c r="F81" s="19" t="n">
        <v>2</v>
      </c>
      <c r="G81" s="19" t="n">
        <v>0</v>
      </c>
      <c r="H81" s="19" t="n">
        <f aca="false">F81-G81</f>
        <v>2</v>
      </c>
      <c r="I81" s="20"/>
      <c r="J81" s="21"/>
      <c r="K81" s="21" t="s">
        <v>209</v>
      </c>
    </row>
    <row r="82" customFormat="false" ht="15" hidden="false" customHeight="false" outlineLevel="1" collapsed="false">
      <c r="A82" s="15" t="s">
        <v>224</v>
      </c>
      <c r="B82" s="16"/>
      <c r="C82" s="17" t="s">
        <v>225</v>
      </c>
      <c r="D82" s="18"/>
      <c r="E82" s="19"/>
      <c r="F82" s="19"/>
      <c r="G82" s="19"/>
      <c r="H82" s="19"/>
      <c r="I82" s="20"/>
      <c r="J82" s="21"/>
      <c r="K82" s="21"/>
    </row>
    <row r="83" customFormat="false" ht="15" hidden="false" customHeight="false" outlineLevel="2" collapsed="false">
      <c r="A83" s="16"/>
      <c r="B83" s="15" t="s">
        <v>226</v>
      </c>
      <c r="C83" s="35"/>
      <c r="D83" s="36" t="s">
        <v>227</v>
      </c>
      <c r="E83" s="19" t="s">
        <v>15</v>
      </c>
      <c r="F83" s="19" t="n">
        <v>2</v>
      </c>
      <c r="G83" s="19" t="n">
        <v>2</v>
      </c>
      <c r="H83" s="19" t="n">
        <f aca="false">F83-G83</f>
        <v>0</v>
      </c>
      <c r="I83" s="20"/>
      <c r="J83" s="21"/>
      <c r="K83" s="21" t="s">
        <v>228</v>
      </c>
    </row>
    <row r="84" customFormat="false" ht="15" hidden="false" customHeight="false" outlineLevel="2" collapsed="false">
      <c r="A84" s="16"/>
      <c r="B84" s="15" t="s">
        <v>229</v>
      </c>
      <c r="C84" s="35"/>
      <c r="D84" s="36" t="s">
        <v>230</v>
      </c>
      <c r="E84" s="19" t="s">
        <v>15</v>
      </c>
      <c r="F84" s="19" t="n">
        <v>2</v>
      </c>
      <c r="G84" s="19" t="n">
        <v>2</v>
      </c>
      <c r="H84" s="19" t="n">
        <f aca="false">F84-G84</f>
        <v>0</v>
      </c>
      <c r="I84" s="20"/>
      <c r="J84" s="21"/>
      <c r="K84" s="21" t="s">
        <v>231</v>
      </c>
    </row>
    <row r="85" customFormat="false" ht="17.9" hidden="false" customHeight="false" outlineLevel="2" collapsed="false">
      <c r="A85" s="16"/>
      <c r="B85" s="15" t="s">
        <v>232</v>
      </c>
      <c r="C85" s="35"/>
      <c r="D85" s="36" t="s">
        <v>233</v>
      </c>
      <c r="E85" s="19" t="s">
        <v>15</v>
      </c>
      <c r="F85" s="19" t="n">
        <v>2</v>
      </c>
      <c r="G85" s="19" t="n">
        <v>1</v>
      </c>
      <c r="H85" s="19" t="n">
        <f aca="false">F85-G85</f>
        <v>1</v>
      </c>
      <c r="I85" s="20"/>
      <c r="J85" s="21"/>
      <c r="K85" s="21" t="s">
        <v>234</v>
      </c>
    </row>
    <row r="86" customFormat="false" ht="15" hidden="false" customHeight="false" outlineLevel="2" collapsed="false">
      <c r="A86" s="16"/>
      <c r="B86" s="15" t="s">
        <v>235</v>
      </c>
      <c r="C86" s="35"/>
      <c r="D86" s="36" t="s">
        <v>236</v>
      </c>
      <c r="E86" s="19" t="s">
        <v>15</v>
      </c>
      <c r="F86" s="19" t="n">
        <v>2</v>
      </c>
      <c r="G86" s="19" t="n">
        <v>2</v>
      </c>
      <c r="H86" s="19" t="n">
        <f aca="false">F86-G86</f>
        <v>0</v>
      </c>
      <c r="I86" s="20"/>
      <c r="J86" s="21"/>
      <c r="K86" s="21" t="s">
        <v>237</v>
      </c>
    </row>
    <row r="87" customFormat="false" ht="15" hidden="false" customHeight="false" outlineLevel="2" collapsed="false">
      <c r="A87" s="16"/>
      <c r="B87" s="15" t="s">
        <v>238</v>
      </c>
      <c r="C87" s="35"/>
      <c r="D87" s="36" t="s">
        <v>239</v>
      </c>
      <c r="E87" s="19" t="s">
        <v>15</v>
      </c>
      <c r="F87" s="19" t="n">
        <v>2</v>
      </c>
      <c r="G87" s="19" t="n">
        <v>2</v>
      </c>
      <c r="H87" s="19" t="n">
        <f aca="false">F87-G87</f>
        <v>0</v>
      </c>
      <c r="I87" s="20"/>
      <c r="J87" s="21"/>
      <c r="K87" s="21" t="s">
        <v>240</v>
      </c>
    </row>
    <row r="88" customFormat="false" ht="15" hidden="false" customHeight="false" outlineLevel="2" collapsed="false">
      <c r="A88" s="16"/>
      <c r="B88" s="15" t="s">
        <v>241</v>
      </c>
      <c r="C88" s="35"/>
      <c r="D88" s="36" t="s">
        <v>242</v>
      </c>
      <c r="E88" s="19" t="s">
        <v>15</v>
      </c>
      <c r="F88" s="19" t="n">
        <v>2</v>
      </c>
      <c r="G88" s="19" t="n">
        <v>2</v>
      </c>
      <c r="H88" s="19" t="n">
        <f aca="false">F88-G88</f>
        <v>0</v>
      </c>
      <c r="I88" s="20"/>
      <c r="J88" s="21"/>
      <c r="K88" s="21" t="s">
        <v>243</v>
      </c>
    </row>
    <row r="89" customFormat="false" ht="17.9" hidden="false" customHeight="false" outlineLevel="2" collapsed="false">
      <c r="A89" s="16"/>
      <c r="B89" s="15" t="s">
        <v>244</v>
      </c>
      <c r="C89" s="35"/>
      <c r="D89" s="36" t="s">
        <v>245</v>
      </c>
      <c r="E89" s="19" t="s">
        <v>15</v>
      </c>
      <c r="F89" s="19" t="n">
        <v>1</v>
      </c>
      <c r="G89" s="19" t="n">
        <v>1</v>
      </c>
      <c r="H89" s="19" t="n">
        <f aca="false">F89-G89</f>
        <v>0</v>
      </c>
      <c r="I89" s="20"/>
      <c r="J89" s="21"/>
      <c r="K89" s="21" t="s">
        <v>246</v>
      </c>
    </row>
    <row r="90" customFormat="false" ht="15" hidden="false" customHeight="false" outlineLevel="2" collapsed="false">
      <c r="A90" s="16"/>
      <c r="B90" s="15" t="s">
        <v>247</v>
      </c>
      <c r="C90" s="35"/>
      <c r="D90" s="36" t="s">
        <v>248</v>
      </c>
      <c r="E90" s="19" t="s">
        <v>15</v>
      </c>
      <c r="F90" s="19" t="n">
        <v>2</v>
      </c>
      <c r="G90" s="19" t="n">
        <v>1</v>
      </c>
      <c r="H90" s="19" t="n">
        <f aca="false">F90-G90</f>
        <v>1</v>
      </c>
      <c r="I90" s="20"/>
      <c r="J90" s="21"/>
      <c r="K90" s="21" t="s">
        <v>249</v>
      </c>
    </row>
    <row r="91" customFormat="false" ht="15" hidden="false" customHeight="false" outlineLevel="2" collapsed="false">
      <c r="A91" s="16"/>
      <c r="B91" s="15" t="s">
        <v>250</v>
      </c>
      <c r="C91" s="35"/>
      <c r="D91" s="36" t="s">
        <v>251</v>
      </c>
      <c r="E91" s="19" t="s">
        <v>15</v>
      </c>
      <c r="F91" s="19" t="n">
        <v>2</v>
      </c>
      <c r="G91" s="19" t="n">
        <v>2</v>
      </c>
      <c r="H91" s="19" t="n">
        <f aca="false">F91-G91</f>
        <v>0</v>
      </c>
      <c r="I91" s="20"/>
      <c r="J91" s="21"/>
      <c r="K91" s="21" t="s">
        <v>252</v>
      </c>
    </row>
    <row r="92" customFormat="false" ht="15" hidden="false" customHeight="false" outlineLevel="2" collapsed="false">
      <c r="A92" s="16"/>
      <c r="B92" s="15" t="s">
        <v>253</v>
      </c>
      <c r="C92" s="35"/>
      <c r="D92" s="36" t="s">
        <v>254</v>
      </c>
      <c r="E92" s="19" t="s">
        <v>15</v>
      </c>
      <c r="F92" s="19" t="n">
        <v>1</v>
      </c>
      <c r="G92" s="19" t="n">
        <v>1</v>
      </c>
      <c r="H92" s="19" t="n">
        <f aca="false">F92-G92</f>
        <v>0</v>
      </c>
      <c r="I92" s="20" t="s">
        <v>255</v>
      </c>
      <c r="J92" s="21"/>
      <c r="K92" s="21" t="s">
        <v>256</v>
      </c>
    </row>
    <row r="93" customFormat="false" ht="15" hidden="false" customHeight="false" outlineLevel="2" collapsed="false">
      <c r="A93" s="16"/>
      <c r="B93" s="15" t="s">
        <v>257</v>
      </c>
      <c r="C93" s="35"/>
      <c r="D93" s="36" t="s">
        <v>258</v>
      </c>
      <c r="E93" s="19" t="s">
        <v>15</v>
      </c>
      <c r="F93" s="19" t="n">
        <v>1</v>
      </c>
      <c r="G93" s="19" t="n">
        <v>1</v>
      </c>
      <c r="H93" s="19" t="n">
        <f aca="false">F93-G93</f>
        <v>0</v>
      </c>
      <c r="I93" s="20" t="s">
        <v>259</v>
      </c>
      <c r="J93" s="21"/>
      <c r="K93" s="21" t="s">
        <v>260</v>
      </c>
    </row>
    <row r="94" customFormat="false" ht="35.05" hidden="false" customHeight="false" outlineLevel="2" collapsed="false">
      <c r="A94" s="16"/>
      <c r="B94" s="15" t="s">
        <v>261</v>
      </c>
      <c r="C94" s="35"/>
      <c r="D94" s="36" t="s">
        <v>262</v>
      </c>
      <c r="E94" s="19" t="s">
        <v>15</v>
      </c>
      <c r="F94" s="19" t="n">
        <v>2</v>
      </c>
      <c r="G94" s="19" t="n">
        <v>2</v>
      </c>
      <c r="H94" s="19" t="n">
        <f aca="false">F94-G94</f>
        <v>0</v>
      </c>
      <c r="I94" s="20" t="s">
        <v>263</v>
      </c>
      <c r="J94" s="21"/>
      <c r="K94" s="21" t="s">
        <v>264</v>
      </c>
    </row>
    <row r="95" customFormat="false" ht="15" hidden="false" customHeight="false" outlineLevel="1" collapsed="false">
      <c r="A95" s="15" t="s">
        <v>265</v>
      </c>
      <c r="B95" s="16"/>
      <c r="C95" s="17" t="s">
        <v>266</v>
      </c>
      <c r="D95" s="18"/>
      <c r="E95" s="19"/>
      <c r="F95" s="19"/>
      <c r="G95" s="19"/>
      <c r="H95" s="19"/>
      <c r="I95" s="20"/>
      <c r="J95" s="21"/>
      <c r="K95" s="21"/>
    </row>
    <row r="96" customFormat="false" ht="15" hidden="false" customHeight="false" outlineLevel="2" collapsed="false">
      <c r="A96" s="16"/>
      <c r="B96" s="15" t="s">
        <v>267</v>
      </c>
      <c r="C96" s="35"/>
      <c r="D96" s="36" t="s">
        <v>268</v>
      </c>
      <c r="E96" s="19" t="s">
        <v>15</v>
      </c>
      <c r="F96" s="19" t="n">
        <v>2</v>
      </c>
      <c r="G96" s="19" t="n">
        <v>2</v>
      </c>
      <c r="H96" s="19" t="n">
        <f aca="false">F96-G96</f>
        <v>0</v>
      </c>
      <c r="I96" s="20"/>
      <c r="J96" s="21" t="s">
        <v>269</v>
      </c>
      <c r="K96" s="21" t="s">
        <v>270</v>
      </c>
    </row>
    <row r="97" customFormat="false" ht="15" hidden="false" customHeight="false" outlineLevel="2" collapsed="false">
      <c r="A97" s="16"/>
      <c r="B97" s="15" t="s">
        <v>271</v>
      </c>
      <c r="C97" s="35"/>
      <c r="D97" s="36" t="s">
        <v>272</v>
      </c>
      <c r="E97" s="19" t="s">
        <v>15</v>
      </c>
      <c r="F97" s="19" t="n">
        <v>2</v>
      </c>
      <c r="G97" s="19" t="n">
        <v>1</v>
      </c>
      <c r="H97" s="19" t="n">
        <f aca="false">F97-G97</f>
        <v>1</v>
      </c>
      <c r="I97" s="20"/>
      <c r="J97" s="21" t="s">
        <v>273</v>
      </c>
      <c r="K97" s="21" t="s">
        <v>274</v>
      </c>
    </row>
    <row r="98" customFormat="false" ht="15" hidden="false" customHeight="false" outlineLevel="2" collapsed="false">
      <c r="A98" s="16"/>
      <c r="B98" s="15" t="s">
        <v>275</v>
      </c>
      <c r="C98" s="35"/>
      <c r="D98" s="36" t="s">
        <v>276</v>
      </c>
      <c r="E98" s="19" t="s">
        <v>15</v>
      </c>
      <c r="F98" s="19" t="n">
        <v>2</v>
      </c>
      <c r="G98" s="19" t="n">
        <v>1</v>
      </c>
      <c r="H98" s="19" t="n">
        <f aca="false">F98-G98</f>
        <v>1</v>
      </c>
      <c r="I98" s="20"/>
      <c r="J98" s="21"/>
      <c r="K98" s="21" t="s">
        <v>277</v>
      </c>
    </row>
    <row r="99" customFormat="false" ht="15" hidden="false" customHeight="false" outlineLevel="2" collapsed="false">
      <c r="A99" s="16"/>
      <c r="B99" s="15" t="s">
        <v>278</v>
      </c>
      <c r="C99" s="35"/>
      <c r="D99" s="36" t="s">
        <v>279</v>
      </c>
      <c r="E99" s="19" t="s">
        <v>15</v>
      </c>
      <c r="F99" s="19" t="n">
        <v>2</v>
      </c>
      <c r="G99" s="19" t="n">
        <v>2</v>
      </c>
      <c r="H99" s="19" t="n">
        <f aca="false">F99-G99</f>
        <v>0</v>
      </c>
      <c r="I99" s="20"/>
      <c r="J99" s="21"/>
      <c r="K99" s="21" t="s">
        <v>280</v>
      </c>
    </row>
    <row r="100" customFormat="false" ht="15" hidden="false" customHeight="false" outlineLevel="2" collapsed="false">
      <c r="A100" s="16"/>
      <c r="B100" s="15" t="s">
        <v>281</v>
      </c>
      <c r="C100" s="35"/>
      <c r="D100" s="36" t="s">
        <v>282</v>
      </c>
      <c r="E100" s="19" t="s">
        <v>15</v>
      </c>
      <c r="F100" s="19" t="n">
        <v>1</v>
      </c>
      <c r="G100" s="19" t="n">
        <v>0</v>
      </c>
      <c r="H100" s="19" t="n">
        <f aca="false">F100-G100</f>
        <v>1</v>
      </c>
      <c r="I100" s="20"/>
      <c r="J100" s="21"/>
      <c r="K100" s="21"/>
    </row>
    <row r="101" customFormat="false" ht="15" hidden="false" customHeight="false" outlineLevel="1" collapsed="false">
      <c r="A101" s="15" t="s">
        <v>283</v>
      </c>
      <c r="B101" s="16"/>
      <c r="C101" s="17" t="s">
        <v>284</v>
      </c>
      <c r="D101" s="18"/>
      <c r="E101" s="19"/>
      <c r="F101" s="19"/>
      <c r="G101" s="19"/>
      <c r="H101" s="19"/>
      <c r="I101" s="20"/>
      <c r="J101" s="21"/>
      <c r="K101" s="21"/>
    </row>
    <row r="102" customFormat="false" ht="15" hidden="false" customHeight="false" outlineLevel="2" collapsed="false">
      <c r="A102" s="16"/>
      <c r="B102" s="15" t="s">
        <v>285</v>
      </c>
      <c r="C102" s="35"/>
      <c r="D102" s="36" t="s">
        <v>286</v>
      </c>
      <c r="E102" s="19" t="s">
        <v>15</v>
      </c>
      <c r="F102" s="19" t="n">
        <v>2</v>
      </c>
      <c r="G102" s="19" t="n">
        <v>1</v>
      </c>
      <c r="H102" s="19" t="n">
        <f aca="false">F102-G102</f>
        <v>1</v>
      </c>
      <c r="I102" s="20"/>
      <c r="J102" s="21"/>
      <c r="K102" s="21" t="s">
        <v>287</v>
      </c>
    </row>
    <row r="103" customFormat="false" ht="15" hidden="false" customHeight="false" outlineLevel="2" collapsed="false">
      <c r="A103" s="16"/>
      <c r="B103" s="15" t="s">
        <v>288</v>
      </c>
      <c r="C103" s="35"/>
      <c r="D103" s="36" t="s">
        <v>289</v>
      </c>
      <c r="E103" s="19" t="s">
        <v>15</v>
      </c>
      <c r="F103" s="19" t="n">
        <v>0</v>
      </c>
      <c r="G103" s="19" t="n">
        <v>0</v>
      </c>
      <c r="H103" s="19" t="n">
        <f aca="false">F103-G103</f>
        <v>0</v>
      </c>
      <c r="I103" s="20"/>
      <c r="J103" s="21" t="s">
        <v>290</v>
      </c>
      <c r="K103" s="21" t="s">
        <v>193</v>
      </c>
    </row>
    <row r="104" customFormat="false" ht="15" hidden="false" customHeight="false" outlineLevel="2" collapsed="false">
      <c r="A104" s="16"/>
      <c r="B104" s="15" t="s">
        <v>291</v>
      </c>
      <c r="C104" s="35"/>
      <c r="D104" s="36" t="s">
        <v>292</v>
      </c>
      <c r="E104" s="19" t="s">
        <v>15</v>
      </c>
      <c r="F104" s="19" t="n">
        <v>1</v>
      </c>
      <c r="G104" s="19" t="n">
        <v>0</v>
      </c>
      <c r="H104" s="19" t="n">
        <f aca="false">F104-G104</f>
        <v>1</v>
      </c>
      <c r="I104" s="20"/>
      <c r="J104" s="21" t="s">
        <v>293</v>
      </c>
      <c r="K104" s="21" t="s">
        <v>294</v>
      </c>
    </row>
    <row r="105" customFormat="false" ht="15" hidden="false" customHeight="false" outlineLevel="2" collapsed="false">
      <c r="A105" s="16"/>
      <c r="B105" s="15" t="s">
        <v>295</v>
      </c>
      <c r="C105" s="35"/>
      <c r="D105" s="36" t="s">
        <v>296</v>
      </c>
      <c r="E105" s="19" t="s">
        <v>15</v>
      </c>
      <c r="F105" s="19" t="n">
        <v>2</v>
      </c>
      <c r="G105" s="19" t="n">
        <v>0</v>
      </c>
      <c r="H105" s="19" t="n">
        <f aca="false">F105-G105</f>
        <v>2</v>
      </c>
      <c r="I105" s="20"/>
      <c r="J105" s="21" t="s">
        <v>297</v>
      </c>
      <c r="K105" s="21"/>
    </row>
    <row r="106" customFormat="false" ht="15" hidden="false" customHeight="false" outlineLevel="2" collapsed="false">
      <c r="A106" s="16"/>
      <c r="B106" s="15" t="s">
        <v>298</v>
      </c>
      <c r="C106" s="35"/>
      <c r="D106" s="36" t="s">
        <v>299</v>
      </c>
      <c r="E106" s="19" t="s">
        <v>15</v>
      </c>
      <c r="F106" s="19" t="n">
        <v>2</v>
      </c>
      <c r="G106" s="19" t="n">
        <v>1</v>
      </c>
      <c r="H106" s="19" t="n">
        <f aca="false">F106-G106</f>
        <v>1</v>
      </c>
      <c r="I106" s="20"/>
      <c r="J106" s="21" t="s">
        <v>300</v>
      </c>
      <c r="K106" s="21" t="s">
        <v>301</v>
      </c>
    </row>
    <row r="107" customFormat="false" ht="15" hidden="false" customHeight="false" outlineLevel="2" collapsed="false">
      <c r="A107" s="16"/>
      <c r="B107" s="15" t="s">
        <v>302</v>
      </c>
      <c r="C107" s="35"/>
      <c r="D107" s="36" t="s">
        <v>303</v>
      </c>
      <c r="E107" s="19" t="s">
        <v>15</v>
      </c>
      <c r="F107" s="19" t="n">
        <v>1</v>
      </c>
      <c r="G107" s="19" t="n">
        <v>0</v>
      </c>
      <c r="H107" s="19" t="n">
        <f aca="false">F107-G107</f>
        <v>1</v>
      </c>
      <c r="I107" s="20"/>
      <c r="J107" s="21" t="s">
        <v>304</v>
      </c>
      <c r="K107" s="21"/>
    </row>
    <row r="108" customFormat="false" ht="15" hidden="false" customHeight="false" outlineLevel="2" collapsed="false">
      <c r="A108" s="16"/>
      <c r="B108" s="15" t="s">
        <v>305</v>
      </c>
      <c r="C108" s="35"/>
      <c r="D108" s="36" t="s">
        <v>306</v>
      </c>
      <c r="E108" s="19" t="s">
        <v>15</v>
      </c>
      <c r="F108" s="19" t="n">
        <v>1</v>
      </c>
      <c r="G108" s="19" t="n">
        <v>0</v>
      </c>
      <c r="H108" s="19" t="n">
        <f aca="false">F108-G108</f>
        <v>1</v>
      </c>
      <c r="I108" s="20"/>
      <c r="J108" s="21"/>
      <c r="K108" s="21"/>
    </row>
    <row r="109" customFormat="false" ht="15" hidden="false" customHeight="false" outlineLevel="0" collapsed="false">
      <c r="A109" s="31" t="s">
        <v>307</v>
      </c>
      <c r="B109" s="32" t="s">
        <v>308</v>
      </c>
      <c r="C109" s="37"/>
      <c r="D109" s="37"/>
      <c r="E109" s="38"/>
      <c r="F109" s="38" t="n">
        <f aca="false">SUM(F110:F157)</f>
        <v>80</v>
      </c>
      <c r="G109" s="38" t="n">
        <f aca="false">SUM(G110:G157)</f>
        <v>60</v>
      </c>
      <c r="H109" s="38" t="n">
        <f aca="false">SUM(H110:H157)</f>
        <v>20</v>
      </c>
      <c r="I109" s="37"/>
      <c r="J109" s="37" t="s">
        <v>309</v>
      </c>
      <c r="K109" s="38"/>
    </row>
    <row r="110" customFormat="false" ht="15" hidden="false" customHeight="false" outlineLevel="1" collapsed="false">
      <c r="A110" s="15" t="s">
        <v>310</v>
      </c>
      <c r="B110" s="16"/>
      <c r="C110" s="17" t="s">
        <v>311</v>
      </c>
      <c r="D110" s="18"/>
      <c r="E110" s="19"/>
      <c r="F110" s="19"/>
      <c r="G110" s="19"/>
      <c r="H110" s="19"/>
      <c r="I110" s="20"/>
      <c r="J110" s="21"/>
      <c r="K110" s="21"/>
    </row>
    <row r="111" customFormat="false" ht="17.9" hidden="false" customHeight="false" outlineLevel="2" collapsed="false">
      <c r="A111" s="16"/>
      <c r="B111" s="15" t="s">
        <v>312</v>
      </c>
      <c r="C111" s="35"/>
      <c r="D111" s="36" t="s">
        <v>197</v>
      </c>
      <c r="E111" s="19" t="s">
        <v>15</v>
      </c>
      <c r="F111" s="19" t="n">
        <v>1</v>
      </c>
      <c r="G111" s="19" t="n">
        <v>1</v>
      </c>
      <c r="H111" s="19" t="n">
        <f aca="false">F111-G111</f>
        <v>0</v>
      </c>
      <c r="I111" s="20"/>
      <c r="J111" s="21"/>
      <c r="K111" s="21" t="s">
        <v>313</v>
      </c>
    </row>
    <row r="112" customFormat="false" ht="17.9" hidden="false" customHeight="false" outlineLevel="2" collapsed="false">
      <c r="A112" s="16"/>
      <c r="B112" s="15" t="s">
        <v>314</v>
      </c>
      <c r="C112" s="35"/>
      <c r="D112" s="36" t="s">
        <v>199</v>
      </c>
      <c r="E112" s="19" t="s">
        <v>15</v>
      </c>
      <c r="F112" s="19" t="n">
        <v>1</v>
      </c>
      <c r="G112" s="19" t="n">
        <v>1</v>
      </c>
      <c r="H112" s="19" t="n">
        <f aca="false">F112-G112</f>
        <v>0</v>
      </c>
      <c r="I112" s="20"/>
      <c r="J112" s="21"/>
      <c r="K112" s="21" t="s">
        <v>315</v>
      </c>
    </row>
    <row r="113" customFormat="false" ht="17.9" hidden="false" customHeight="false" outlineLevel="2" collapsed="false">
      <c r="A113" s="16"/>
      <c r="B113" s="15" t="s">
        <v>316</v>
      </c>
      <c r="C113" s="35"/>
      <c r="D113" s="36" t="s">
        <v>317</v>
      </c>
      <c r="E113" s="19" t="s">
        <v>15</v>
      </c>
      <c r="F113" s="19" t="n">
        <v>2</v>
      </c>
      <c r="G113" s="19" t="n">
        <v>2</v>
      </c>
      <c r="H113" s="19" t="n">
        <f aca="false">F113-G113</f>
        <v>0</v>
      </c>
      <c r="I113" s="20"/>
      <c r="J113" s="21"/>
      <c r="K113" s="21" t="s">
        <v>318</v>
      </c>
    </row>
    <row r="114" customFormat="false" ht="17.9" hidden="false" customHeight="false" outlineLevel="2" collapsed="false">
      <c r="A114" s="16"/>
      <c r="B114" s="15" t="s">
        <v>319</v>
      </c>
      <c r="C114" s="35"/>
      <c r="D114" s="36" t="s">
        <v>320</v>
      </c>
      <c r="E114" s="19" t="s">
        <v>15</v>
      </c>
      <c r="F114" s="19" t="n">
        <v>2</v>
      </c>
      <c r="G114" s="19" t="n">
        <v>2</v>
      </c>
      <c r="H114" s="19" t="n">
        <f aca="false">F114-G114</f>
        <v>0</v>
      </c>
      <c r="I114" s="20"/>
      <c r="J114" s="21"/>
      <c r="K114" s="21" t="s">
        <v>321</v>
      </c>
    </row>
    <row r="115" customFormat="false" ht="17.9" hidden="false" customHeight="false" outlineLevel="2" collapsed="false">
      <c r="A115" s="16"/>
      <c r="B115" s="15" t="s">
        <v>322</v>
      </c>
      <c r="C115" s="35"/>
      <c r="D115" s="36" t="s">
        <v>323</v>
      </c>
      <c r="E115" s="19" t="s">
        <v>15</v>
      </c>
      <c r="F115" s="19" t="n">
        <v>2</v>
      </c>
      <c r="G115" s="19" t="n">
        <v>1</v>
      </c>
      <c r="H115" s="19" t="n">
        <f aca="false">F115-G115</f>
        <v>1</v>
      </c>
      <c r="I115" s="20"/>
      <c r="J115" s="21"/>
      <c r="K115" s="21" t="s">
        <v>324</v>
      </c>
    </row>
    <row r="116" customFormat="false" ht="17.9" hidden="false" customHeight="false" outlineLevel="2" collapsed="false">
      <c r="A116" s="16"/>
      <c r="B116" s="15" t="s">
        <v>325</v>
      </c>
      <c r="C116" s="35"/>
      <c r="D116" s="36" t="s">
        <v>326</v>
      </c>
      <c r="E116" s="19" t="s">
        <v>15</v>
      </c>
      <c r="F116" s="19" t="n">
        <v>1</v>
      </c>
      <c r="G116" s="19" t="n">
        <v>1</v>
      </c>
      <c r="H116" s="19" t="n">
        <v>0</v>
      </c>
      <c r="I116" s="20"/>
      <c r="J116" s="21"/>
      <c r="K116" s="21" t="s">
        <v>324</v>
      </c>
    </row>
    <row r="117" customFormat="false" ht="17.9" hidden="false" customHeight="false" outlineLevel="2" collapsed="false">
      <c r="A117" s="16"/>
      <c r="B117" s="15" t="s">
        <v>327</v>
      </c>
      <c r="C117" s="35"/>
      <c r="D117" s="36" t="s">
        <v>328</v>
      </c>
      <c r="E117" s="19" t="s">
        <v>15</v>
      </c>
      <c r="F117" s="19" t="n">
        <v>1</v>
      </c>
      <c r="G117" s="19" t="n">
        <v>1</v>
      </c>
      <c r="H117" s="19" t="n">
        <v>0</v>
      </c>
      <c r="I117" s="20"/>
      <c r="J117" s="21"/>
      <c r="K117" s="21" t="s">
        <v>315</v>
      </c>
    </row>
    <row r="118" customFormat="false" ht="17.9" hidden="false" customHeight="false" outlineLevel="2" collapsed="false">
      <c r="A118" s="16"/>
      <c r="B118" s="15" t="s">
        <v>329</v>
      </c>
      <c r="C118" s="35"/>
      <c r="D118" s="36" t="s">
        <v>292</v>
      </c>
      <c r="E118" s="19" t="s">
        <v>15</v>
      </c>
      <c r="F118" s="19" t="n">
        <v>2</v>
      </c>
      <c r="G118" s="19" t="n">
        <v>0</v>
      </c>
      <c r="H118" s="19" t="n">
        <f aca="false">F118-G118</f>
        <v>2</v>
      </c>
      <c r="I118" s="20"/>
      <c r="J118" s="21"/>
      <c r="K118" s="21"/>
    </row>
    <row r="119" customFormat="false" ht="15" hidden="false" customHeight="false" outlineLevel="2" collapsed="false">
      <c r="A119" s="16"/>
      <c r="B119" s="15" t="s">
        <v>330</v>
      </c>
      <c r="C119" s="35"/>
      <c r="D119" s="36" t="s">
        <v>331</v>
      </c>
      <c r="E119" s="19" t="s">
        <v>15</v>
      </c>
      <c r="F119" s="19" t="n">
        <v>3</v>
      </c>
      <c r="G119" s="19" t="n">
        <v>3</v>
      </c>
      <c r="H119" s="19" t="n">
        <f aca="false">F119-G119</f>
        <v>0</v>
      </c>
      <c r="I119" s="20"/>
      <c r="J119" s="21"/>
      <c r="K119" s="21" t="s">
        <v>332</v>
      </c>
    </row>
    <row r="120" customFormat="false" ht="15" hidden="false" customHeight="false" outlineLevel="1" collapsed="false">
      <c r="A120" s="15" t="s">
        <v>333</v>
      </c>
      <c r="B120" s="16"/>
      <c r="C120" s="17" t="s">
        <v>334</v>
      </c>
      <c r="D120" s="18"/>
      <c r="E120" s="19"/>
      <c r="F120" s="19"/>
      <c r="G120" s="19"/>
      <c r="H120" s="19" t="n">
        <f aca="false">F120-G120</f>
        <v>0</v>
      </c>
      <c r="I120" s="20"/>
      <c r="J120" s="21"/>
      <c r="K120" s="21"/>
    </row>
    <row r="121" customFormat="false" ht="17.9" hidden="false" customHeight="false" outlineLevel="2" collapsed="false">
      <c r="A121" s="16"/>
      <c r="B121" s="15" t="s">
        <v>335</v>
      </c>
      <c r="C121" s="35"/>
      <c r="D121" s="36" t="s">
        <v>336</v>
      </c>
      <c r="E121" s="19" t="s">
        <v>15</v>
      </c>
      <c r="F121" s="19" t="n">
        <v>3</v>
      </c>
      <c r="G121" s="19" t="n">
        <v>2</v>
      </c>
      <c r="H121" s="19" t="n">
        <f aca="false">F121-G121</f>
        <v>1</v>
      </c>
      <c r="I121" s="20"/>
      <c r="J121" s="21"/>
      <c r="K121" s="21" t="s">
        <v>337</v>
      </c>
    </row>
    <row r="122" customFormat="false" ht="17.9" hidden="false" customHeight="false" outlineLevel="2" collapsed="false">
      <c r="A122" s="16"/>
      <c r="B122" s="15" t="s">
        <v>338</v>
      </c>
      <c r="C122" s="35"/>
      <c r="D122" s="36" t="s">
        <v>339</v>
      </c>
      <c r="E122" s="19" t="s">
        <v>15</v>
      </c>
      <c r="F122" s="19" t="n">
        <v>1</v>
      </c>
      <c r="G122" s="19" t="n">
        <v>1</v>
      </c>
      <c r="H122" s="19" t="n">
        <f aca="false">F122-G122</f>
        <v>0</v>
      </c>
      <c r="I122" s="20"/>
      <c r="J122" s="21"/>
      <c r="K122" s="21" t="s">
        <v>340</v>
      </c>
    </row>
    <row r="123" customFormat="false" ht="15" hidden="false" customHeight="false" outlineLevel="1" collapsed="false">
      <c r="A123" s="15" t="s">
        <v>341</v>
      </c>
      <c r="B123" s="16"/>
      <c r="C123" s="17" t="s">
        <v>225</v>
      </c>
      <c r="D123" s="18"/>
      <c r="E123" s="19"/>
      <c r="F123" s="19"/>
      <c r="G123" s="19"/>
      <c r="H123" s="19" t="n">
        <f aca="false">F123-G123</f>
        <v>0</v>
      </c>
      <c r="I123" s="20"/>
      <c r="J123" s="21"/>
      <c r="K123" s="21"/>
    </row>
    <row r="124" customFormat="false" ht="15" hidden="false" customHeight="false" outlineLevel="2" collapsed="false">
      <c r="A124" s="16"/>
      <c r="B124" s="15" t="s">
        <v>342</v>
      </c>
      <c r="C124" s="35"/>
      <c r="D124" s="36" t="s">
        <v>343</v>
      </c>
      <c r="E124" s="19" t="s">
        <v>15</v>
      </c>
      <c r="F124" s="19" t="n">
        <v>2</v>
      </c>
      <c r="G124" s="19" t="n">
        <v>2</v>
      </c>
      <c r="H124" s="19" t="n">
        <f aca="false">F124-G124</f>
        <v>0</v>
      </c>
      <c r="I124" s="20"/>
      <c r="J124" s="21"/>
      <c r="K124" s="21" t="s">
        <v>344</v>
      </c>
    </row>
    <row r="125" customFormat="false" ht="17.9" hidden="false" customHeight="false" outlineLevel="2" collapsed="false">
      <c r="A125" s="16"/>
      <c r="B125" s="15" t="s">
        <v>345</v>
      </c>
      <c r="C125" s="35"/>
      <c r="D125" s="36" t="s">
        <v>233</v>
      </c>
      <c r="E125" s="19" t="s">
        <v>15</v>
      </c>
      <c r="F125" s="19" t="n">
        <v>2</v>
      </c>
      <c r="G125" s="19" t="n">
        <v>2</v>
      </c>
      <c r="H125" s="19" t="n">
        <f aca="false">F125-G125</f>
        <v>0</v>
      </c>
      <c r="I125" s="20"/>
      <c r="J125" s="21"/>
      <c r="K125" s="21" t="s">
        <v>346</v>
      </c>
    </row>
    <row r="126" customFormat="false" ht="17.9" hidden="false" customHeight="false" outlineLevel="2" collapsed="false">
      <c r="A126" s="16"/>
      <c r="B126" s="15" t="s">
        <v>347</v>
      </c>
      <c r="C126" s="35"/>
      <c r="D126" s="36" t="s">
        <v>245</v>
      </c>
      <c r="E126" s="19" t="s">
        <v>15</v>
      </c>
      <c r="F126" s="19" t="n">
        <v>2</v>
      </c>
      <c r="G126" s="19" t="n">
        <v>2</v>
      </c>
      <c r="H126" s="19" t="n">
        <f aca="false">F126-G126</f>
        <v>0</v>
      </c>
      <c r="I126" s="20"/>
      <c r="J126" s="21"/>
      <c r="K126" s="21" t="s">
        <v>348</v>
      </c>
    </row>
    <row r="127" customFormat="false" ht="15" hidden="false" customHeight="false" outlineLevel="2" collapsed="false">
      <c r="A127" s="16"/>
      <c r="B127" s="15" t="s">
        <v>349</v>
      </c>
      <c r="C127" s="35"/>
      <c r="D127" s="36" t="s">
        <v>350</v>
      </c>
      <c r="E127" s="19" t="s">
        <v>15</v>
      </c>
      <c r="F127" s="19" t="n">
        <v>2</v>
      </c>
      <c r="G127" s="19" t="n">
        <v>1</v>
      </c>
      <c r="H127" s="19" t="n">
        <f aca="false">F127-G127</f>
        <v>1</v>
      </c>
      <c r="I127" s="20"/>
      <c r="J127" s="21"/>
      <c r="K127" s="21" t="s">
        <v>351</v>
      </c>
    </row>
    <row r="128" customFormat="false" ht="15" hidden="false" customHeight="false" outlineLevel="2" collapsed="false">
      <c r="A128" s="16"/>
      <c r="B128" s="15" t="s">
        <v>352</v>
      </c>
      <c r="C128" s="35"/>
      <c r="D128" s="36" t="s">
        <v>353</v>
      </c>
      <c r="E128" s="19" t="s">
        <v>15</v>
      </c>
      <c r="F128" s="19" t="n">
        <v>2</v>
      </c>
      <c r="G128" s="19" t="n">
        <v>2</v>
      </c>
      <c r="H128" s="19" t="n">
        <f aca="false">F128-G128</f>
        <v>0</v>
      </c>
      <c r="I128" s="20"/>
      <c r="J128" s="21"/>
      <c r="K128" s="21" t="s">
        <v>354</v>
      </c>
    </row>
    <row r="129" customFormat="false" ht="15" hidden="false" customHeight="false" outlineLevel="2" collapsed="false">
      <c r="A129" s="16"/>
      <c r="B129" s="15" t="s">
        <v>355</v>
      </c>
      <c r="C129" s="35"/>
      <c r="D129" s="36" t="s">
        <v>356</v>
      </c>
      <c r="E129" s="19" t="s">
        <v>15</v>
      </c>
      <c r="F129" s="19" t="n">
        <v>2</v>
      </c>
      <c r="G129" s="19" t="n">
        <v>1</v>
      </c>
      <c r="H129" s="19" t="n">
        <f aca="false">F129-G129</f>
        <v>1</v>
      </c>
      <c r="I129" s="20"/>
      <c r="J129" s="21"/>
      <c r="K129" s="21" t="s">
        <v>357</v>
      </c>
    </row>
    <row r="130" customFormat="false" ht="17.9" hidden="false" customHeight="false" outlineLevel="2" collapsed="false">
      <c r="A130" s="16"/>
      <c r="B130" s="15" t="s">
        <v>358</v>
      </c>
      <c r="C130" s="35"/>
      <c r="D130" s="36" t="s">
        <v>359</v>
      </c>
      <c r="E130" s="19" t="s">
        <v>15</v>
      </c>
      <c r="F130" s="19" t="n">
        <v>2</v>
      </c>
      <c r="G130" s="19" t="n">
        <v>1</v>
      </c>
      <c r="H130" s="19" t="n">
        <f aca="false">F130-G130</f>
        <v>1</v>
      </c>
      <c r="I130" s="20"/>
      <c r="J130" s="21"/>
      <c r="K130" s="21" t="s">
        <v>360</v>
      </c>
    </row>
    <row r="131" customFormat="false" ht="21" hidden="false" customHeight="true" outlineLevel="2" collapsed="false">
      <c r="A131" s="16"/>
      <c r="B131" s="15" t="s">
        <v>361</v>
      </c>
      <c r="C131" s="35"/>
      <c r="D131" s="36" t="s">
        <v>362</v>
      </c>
      <c r="E131" s="19" t="s">
        <v>15</v>
      </c>
      <c r="F131" s="19" t="n">
        <v>4</v>
      </c>
      <c r="G131" s="19" t="n">
        <v>0</v>
      </c>
      <c r="H131" s="19" t="n">
        <f aca="false">F131-G131</f>
        <v>4</v>
      </c>
      <c r="I131" s="20" t="s">
        <v>363</v>
      </c>
      <c r="J131" s="21"/>
      <c r="K131" s="21" t="s">
        <v>364</v>
      </c>
    </row>
    <row r="132" customFormat="false" ht="21.75" hidden="false" customHeight="true" outlineLevel="1" collapsed="false">
      <c r="A132" s="15" t="s">
        <v>365</v>
      </c>
      <c r="B132" s="16"/>
      <c r="C132" s="17" t="s">
        <v>266</v>
      </c>
      <c r="D132" s="18"/>
      <c r="E132" s="19"/>
      <c r="F132" s="19"/>
      <c r="G132" s="19"/>
      <c r="H132" s="19" t="n">
        <f aca="false">F132-G132</f>
        <v>0</v>
      </c>
      <c r="I132" s="20"/>
      <c r="J132" s="21"/>
      <c r="K132" s="21"/>
    </row>
    <row r="133" customFormat="false" ht="22.5" hidden="false" customHeight="true" outlineLevel="2" collapsed="false">
      <c r="A133" s="16"/>
      <c r="B133" s="15" t="s">
        <v>366</v>
      </c>
      <c r="C133" s="35"/>
      <c r="D133" s="36" t="s">
        <v>367</v>
      </c>
      <c r="E133" s="19" t="s">
        <v>15</v>
      </c>
      <c r="F133" s="19" t="n">
        <v>4</v>
      </c>
      <c r="G133" s="19" t="n">
        <v>3</v>
      </c>
      <c r="H133" s="19" t="n">
        <f aca="false">F133-G133</f>
        <v>1</v>
      </c>
      <c r="I133" s="20"/>
      <c r="J133" s="21"/>
      <c r="K133" s="21" t="s">
        <v>368</v>
      </c>
    </row>
    <row r="134" customFormat="false" ht="15" hidden="false" customHeight="false" outlineLevel="2" collapsed="false">
      <c r="A134" s="16"/>
      <c r="B134" s="15" t="s">
        <v>369</v>
      </c>
      <c r="C134" s="35"/>
      <c r="D134" s="36" t="s">
        <v>370</v>
      </c>
      <c r="E134" s="19" t="s">
        <v>15</v>
      </c>
      <c r="F134" s="19" t="n">
        <v>2</v>
      </c>
      <c r="G134" s="19" t="n">
        <v>1</v>
      </c>
      <c r="H134" s="19" t="n">
        <f aca="false">F134-G134</f>
        <v>1</v>
      </c>
      <c r="I134" s="20"/>
      <c r="J134" s="21"/>
      <c r="K134" s="21" t="s">
        <v>371</v>
      </c>
    </row>
    <row r="135" customFormat="false" ht="15" hidden="false" customHeight="false" outlineLevel="1" collapsed="false">
      <c r="A135" s="15" t="s">
        <v>372</v>
      </c>
      <c r="B135" s="16"/>
      <c r="C135" s="17" t="s">
        <v>286</v>
      </c>
      <c r="D135" s="18"/>
      <c r="E135" s="19"/>
      <c r="F135" s="19"/>
      <c r="G135" s="19"/>
      <c r="H135" s="19" t="n">
        <f aca="false">F135-G135</f>
        <v>0</v>
      </c>
      <c r="I135" s="20"/>
      <c r="J135" s="21"/>
      <c r="K135" s="21"/>
    </row>
    <row r="136" customFormat="false" ht="15" hidden="false" customHeight="false" outlineLevel="2" collapsed="false">
      <c r="A136" s="16"/>
      <c r="B136" s="15" t="s">
        <v>373</v>
      </c>
      <c r="C136" s="35"/>
      <c r="D136" s="36" t="s">
        <v>374</v>
      </c>
      <c r="E136" s="19" t="s">
        <v>15</v>
      </c>
      <c r="F136" s="19" t="n">
        <v>2</v>
      </c>
      <c r="G136" s="19" t="n">
        <v>1</v>
      </c>
      <c r="H136" s="19" t="n">
        <f aca="false">F136-G136</f>
        <v>1</v>
      </c>
      <c r="I136" s="20"/>
      <c r="J136" s="21"/>
      <c r="K136" s="21" t="s">
        <v>375</v>
      </c>
    </row>
    <row r="137" customFormat="false" ht="15" hidden="false" customHeight="false" outlineLevel="2" collapsed="false">
      <c r="A137" s="16"/>
      <c r="B137" s="15" t="s">
        <v>376</v>
      </c>
      <c r="C137" s="35"/>
      <c r="D137" s="36" t="s">
        <v>377</v>
      </c>
      <c r="E137" s="19" t="s">
        <v>15</v>
      </c>
      <c r="F137" s="19" t="n">
        <v>2</v>
      </c>
      <c r="G137" s="19" t="n">
        <v>1</v>
      </c>
      <c r="H137" s="19" t="n">
        <f aca="false">F137-G137</f>
        <v>1</v>
      </c>
      <c r="I137" s="20"/>
      <c r="J137" s="21"/>
      <c r="K137" s="21" t="s">
        <v>378</v>
      </c>
    </row>
    <row r="138" customFormat="false" ht="15" hidden="false" customHeight="false" outlineLevel="2" collapsed="false">
      <c r="A138" s="16"/>
      <c r="B138" s="15" t="s">
        <v>379</v>
      </c>
      <c r="C138" s="35"/>
      <c r="D138" s="36" t="s">
        <v>380</v>
      </c>
      <c r="E138" s="19" t="s">
        <v>15</v>
      </c>
      <c r="F138" s="19" t="n">
        <v>2</v>
      </c>
      <c r="G138" s="19" t="n">
        <v>2</v>
      </c>
      <c r="H138" s="19" t="n">
        <f aca="false">F138-G138</f>
        <v>0</v>
      </c>
      <c r="I138" s="20"/>
      <c r="J138" s="21"/>
      <c r="K138" s="21" t="s">
        <v>381</v>
      </c>
    </row>
    <row r="139" customFormat="false" ht="15" hidden="false" customHeight="false" outlineLevel="1" collapsed="false">
      <c r="A139" s="15" t="s">
        <v>382</v>
      </c>
      <c r="B139" s="16"/>
      <c r="C139" s="17" t="s">
        <v>284</v>
      </c>
      <c r="D139" s="18"/>
      <c r="E139" s="19"/>
      <c r="F139" s="19"/>
      <c r="G139" s="19"/>
      <c r="H139" s="19" t="n">
        <f aca="false">F139-G139</f>
        <v>0</v>
      </c>
      <c r="I139" s="20"/>
      <c r="J139" s="21"/>
      <c r="K139" s="21"/>
    </row>
    <row r="140" customFormat="false" ht="15" hidden="false" customHeight="false" outlineLevel="2" collapsed="false">
      <c r="A140" s="16"/>
      <c r="B140" s="15" t="s">
        <v>383</v>
      </c>
      <c r="C140" s="35"/>
      <c r="D140" s="36" t="s">
        <v>384</v>
      </c>
      <c r="E140" s="19" t="s">
        <v>15</v>
      </c>
      <c r="F140" s="19" t="n">
        <v>2</v>
      </c>
      <c r="G140" s="19" t="n">
        <v>2</v>
      </c>
      <c r="H140" s="19" t="n">
        <f aca="false">F140-G140</f>
        <v>0</v>
      </c>
      <c r="I140" s="20"/>
      <c r="J140" s="21"/>
      <c r="K140" s="21" t="s">
        <v>385</v>
      </c>
    </row>
    <row r="141" customFormat="false" ht="15" hidden="false" customHeight="false" outlineLevel="2" collapsed="false">
      <c r="A141" s="16"/>
      <c r="B141" s="15" t="s">
        <v>386</v>
      </c>
      <c r="C141" s="35"/>
      <c r="D141" s="36" t="s">
        <v>387</v>
      </c>
      <c r="E141" s="19" t="s">
        <v>15</v>
      </c>
      <c r="F141" s="19" t="n">
        <v>2</v>
      </c>
      <c r="G141" s="19" t="n">
        <v>2</v>
      </c>
      <c r="H141" s="19" t="n">
        <f aca="false">F141-G141</f>
        <v>0</v>
      </c>
      <c r="I141" s="20"/>
      <c r="J141" s="21"/>
      <c r="K141" s="21" t="s">
        <v>388</v>
      </c>
    </row>
    <row r="142" customFormat="false" ht="15" hidden="false" customHeight="false" outlineLevel="2" collapsed="false">
      <c r="A142" s="16"/>
      <c r="B142" s="15" t="s">
        <v>389</v>
      </c>
      <c r="C142" s="35"/>
      <c r="D142" s="36" t="s">
        <v>390</v>
      </c>
      <c r="E142" s="19" t="s">
        <v>15</v>
      </c>
      <c r="F142" s="19" t="n">
        <v>2</v>
      </c>
      <c r="G142" s="19" t="n">
        <v>1</v>
      </c>
      <c r="H142" s="19" t="n">
        <f aca="false">F142-G142</f>
        <v>1</v>
      </c>
      <c r="I142" s="20"/>
      <c r="J142" s="21"/>
      <c r="K142" s="21" t="s">
        <v>375</v>
      </c>
    </row>
    <row r="143" customFormat="false" ht="15" hidden="false" customHeight="false" outlineLevel="2" collapsed="false">
      <c r="A143" s="16"/>
      <c r="B143" s="15" t="s">
        <v>391</v>
      </c>
      <c r="C143" s="35"/>
      <c r="D143" s="36" t="s">
        <v>392</v>
      </c>
      <c r="E143" s="19" t="s">
        <v>15</v>
      </c>
      <c r="F143" s="19" t="n">
        <v>1</v>
      </c>
      <c r="G143" s="19" t="n">
        <v>0</v>
      </c>
      <c r="H143" s="19" t="n">
        <f aca="false">F143-G143</f>
        <v>1</v>
      </c>
      <c r="I143" s="20"/>
      <c r="J143" s="21"/>
      <c r="K143" s="21"/>
    </row>
    <row r="144" customFormat="false" ht="15" hidden="false" customHeight="false" outlineLevel="2" collapsed="false">
      <c r="A144" s="16"/>
      <c r="B144" s="15" t="s">
        <v>393</v>
      </c>
      <c r="C144" s="35"/>
      <c r="D144" s="36" t="s">
        <v>394</v>
      </c>
      <c r="E144" s="19" t="s">
        <v>15</v>
      </c>
      <c r="F144" s="19" t="n">
        <v>2</v>
      </c>
      <c r="G144" s="19" t="n">
        <v>1</v>
      </c>
      <c r="H144" s="19" t="n">
        <f aca="false">F144-G144</f>
        <v>1</v>
      </c>
      <c r="I144" s="20"/>
      <c r="J144" s="21"/>
      <c r="K144" s="21" t="s">
        <v>324</v>
      </c>
    </row>
    <row r="145" customFormat="false" ht="15" hidden="false" customHeight="false" outlineLevel="1" collapsed="false">
      <c r="A145" s="15" t="s">
        <v>395</v>
      </c>
      <c r="B145" s="16"/>
      <c r="C145" s="17" t="s">
        <v>396</v>
      </c>
      <c r="D145" s="18"/>
      <c r="E145" s="19"/>
      <c r="F145" s="19"/>
      <c r="G145" s="19"/>
      <c r="H145" s="19" t="n">
        <f aca="false">F145-G145</f>
        <v>0</v>
      </c>
      <c r="I145" s="20"/>
      <c r="J145" s="21"/>
      <c r="K145" s="21"/>
    </row>
    <row r="146" customFormat="false" ht="15" hidden="false" customHeight="false" outlineLevel="2" collapsed="false">
      <c r="A146" s="16"/>
      <c r="B146" s="15" t="s">
        <v>397</v>
      </c>
      <c r="C146" s="35"/>
      <c r="D146" s="36" t="s">
        <v>398</v>
      </c>
      <c r="E146" s="19" t="s">
        <v>15</v>
      </c>
      <c r="F146" s="19" t="n">
        <v>2</v>
      </c>
      <c r="G146" s="19" t="n">
        <v>2</v>
      </c>
      <c r="H146" s="19" t="n">
        <f aca="false">F146-G146</f>
        <v>0</v>
      </c>
      <c r="I146" s="20" t="s">
        <v>399</v>
      </c>
      <c r="J146" s="21"/>
      <c r="K146" s="21" t="s">
        <v>400</v>
      </c>
    </row>
    <row r="147" customFormat="false" ht="15" hidden="false" customHeight="false" outlineLevel="2" collapsed="false">
      <c r="A147" s="16"/>
      <c r="B147" s="15" t="s">
        <v>401</v>
      </c>
      <c r="C147" s="39"/>
      <c r="D147" s="40" t="s">
        <v>402</v>
      </c>
      <c r="E147" s="19" t="s">
        <v>15</v>
      </c>
      <c r="F147" s="41" t="n">
        <v>6</v>
      </c>
      <c r="G147" s="41" t="n">
        <v>6</v>
      </c>
      <c r="H147" s="41" t="n">
        <f aca="false">F147-G147</f>
        <v>0</v>
      </c>
      <c r="I147" s="20" t="s">
        <v>403</v>
      </c>
      <c r="J147" s="21"/>
      <c r="K147" s="21" t="s">
        <v>404</v>
      </c>
    </row>
    <row r="148" customFormat="false" ht="15" hidden="false" customHeight="false" outlineLevel="2" collapsed="false">
      <c r="A148" s="16"/>
      <c r="B148" s="42" t="s">
        <v>405</v>
      </c>
      <c r="C148" s="39"/>
      <c r="D148" s="40" t="s">
        <v>406</v>
      </c>
      <c r="E148" s="19" t="s">
        <v>15</v>
      </c>
      <c r="F148" s="41" t="n">
        <v>1</v>
      </c>
      <c r="G148" s="41" t="n">
        <v>1</v>
      </c>
      <c r="H148" s="41" t="n">
        <f aca="false">F148-G148</f>
        <v>0</v>
      </c>
      <c r="I148" s="20" t="s">
        <v>407</v>
      </c>
      <c r="J148" s="21"/>
      <c r="K148" s="43" t="s">
        <v>408</v>
      </c>
    </row>
    <row r="149" customFormat="false" ht="15" hidden="false" customHeight="false" outlineLevel="2" collapsed="false">
      <c r="A149" s="16"/>
      <c r="B149" s="42" t="s">
        <v>409</v>
      </c>
      <c r="C149" s="39"/>
      <c r="D149" s="40" t="s">
        <v>410</v>
      </c>
      <c r="E149" s="19" t="s">
        <v>15</v>
      </c>
      <c r="F149" s="41" t="n">
        <v>1</v>
      </c>
      <c r="G149" s="41" t="n">
        <v>1</v>
      </c>
      <c r="H149" s="41" t="n">
        <f aca="false">F149-G149</f>
        <v>0</v>
      </c>
      <c r="I149" s="20" t="s">
        <v>411</v>
      </c>
      <c r="J149" s="21"/>
      <c r="K149" s="21" t="s">
        <v>412</v>
      </c>
    </row>
    <row r="150" customFormat="false" ht="15" hidden="false" customHeight="false" outlineLevel="2" collapsed="false">
      <c r="A150" s="16"/>
      <c r="B150" s="42" t="s">
        <v>413</v>
      </c>
      <c r="C150" s="39"/>
      <c r="D150" s="40" t="s">
        <v>414</v>
      </c>
      <c r="E150" s="19" t="s">
        <v>15</v>
      </c>
      <c r="F150" s="41" t="n">
        <v>1</v>
      </c>
      <c r="G150" s="41" t="n">
        <v>1</v>
      </c>
      <c r="H150" s="41" t="n">
        <f aca="false">F150-G150</f>
        <v>0</v>
      </c>
      <c r="I150" s="20" t="s">
        <v>415</v>
      </c>
      <c r="J150" s="21"/>
      <c r="K150" s="21" t="s">
        <v>416</v>
      </c>
    </row>
    <row r="151" customFormat="false" ht="15" hidden="false" customHeight="false" outlineLevel="2" collapsed="false">
      <c r="A151" s="16"/>
      <c r="B151" s="42" t="s">
        <v>417</v>
      </c>
      <c r="C151" s="39"/>
      <c r="D151" s="40" t="s">
        <v>418</v>
      </c>
      <c r="E151" s="19" t="s">
        <v>15</v>
      </c>
      <c r="F151" s="41" t="n">
        <v>3</v>
      </c>
      <c r="G151" s="41" t="n">
        <v>3</v>
      </c>
      <c r="H151" s="41" t="n">
        <f aca="false">F151-G151</f>
        <v>0</v>
      </c>
      <c r="I151" s="20" t="s">
        <v>419</v>
      </c>
      <c r="J151" s="21"/>
      <c r="K151" s="21" t="s">
        <v>420</v>
      </c>
    </row>
    <row r="152" customFormat="false" ht="15" hidden="false" customHeight="false" outlineLevel="2" collapsed="false">
      <c r="A152" s="16"/>
      <c r="B152" s="42" t="s">
        <v>421</v>
      </c>
      <c r="C152" s="39"/>
      <c r="D152" s="40" t="s">
        <v>422</v>
      </c>
      <c r="E152" s="19" t="s">
        <v>15</v>
      </c>
      <c r="F152" s="41" t="n">
        <v>1</v>
      </c>
      <c r="G152" s="41" t="n">
        <v>1</v>
      </c>
      <c r="H152" s="41" t="n">
        <f aca="false">F152-G152</f>
        <v>0</v>
      </c>
      <c r="I152" s="20" t="s">
        <v>423</v>
      </c>
      <c r="J152" s="21"/>
      <c r="K152" s="21" t="s">
        <v>424</v>
      </c>
    </row>
    <row r="153" customFormat="false" ht="15" hidden="false" customHeight="false" outlineLevel="2" collapsed="false">
      <c r="A153" s="16"/>
      <c r="B153" s="42" t="s">
        <v>425</v>
      </c>
      <c r="C153" s="39"/>
      <c r="D153" s="40" t="s">
        <v>426</v>
      </c>
      <c r="E153" s="19" t="s">
        <v>15</v>
      </c>
      <c r="F153" s="41" t="n">
        <v>1</v>
      </c>
      <c r="G153" s="41" t="n">
        <v>1</v>
      </c>
      <c r="H153" s="41" t="n">
        <f aca="false">F153-G153</f>
        <v>0</v>
      </c>
      <c r="I153" s="20" t="s">
        <v>427</v>
      </c>
      <c r="J153" s="21"/>
      <c r="K153" s="21" t="s">
        <v>428</v>
      </c>
    </row>
    <row r="154" customFormat="false" ht="15" hidden="false" customHeight="false" outlineLevel="2" collapsed="false">
      <c r="A154" s="16"/>
      <c r="B154" s="42" t="s">
        <v>429</v>
      </c>
      <c r="C154" s="39"/>
      <c r="D154" s="40" t="s">
        <v>430</v>
      </c>
      <c r="E154" s="19" t="s">
        <v>15</v>
      </c>
      <c r="F154" s="41" t="n">
        <v>1</v>
      </c>
      <c r="G154" s="41" t="n">
        <v>1</v>
      </c>
      <c r="H154" s="41" t="n">
        <f aca="false">F154-G154</f>
        <v>0</v>
      </c>
      <c r="I154" s="20" t="s">
        <v>431</v>
      </c>
      <c r="J154" s="21"/>
      <c r="K154" s="21" t="s">
        <v>432</v>
      </c>
    </row>
    <row r="155" customFormat="false" ht="15" hidden="false" customHeight="false" outlineLevel="1" collapsed="false">
      <c r="A155" s="15" t="s">
        <v>433</v>
      </c>
      <c r="B155" s="16"/>
      <c r="C155" s="17" t="s">
        <v>434</v>
      </c>
      <c r="D155" s="18"/>
      <c r="E155" s="19"/>
      <c r="F155" s="19"/>
      <c r="G155" s="19"/>
      <c r="H155" s="19" t="n">
        <f aca="false">F155-G155</f>
        <v>0</v>
      </c>
      <c r="I155" s="20"/>
      <c r="J155" s="21"/>
      <c r="K155" s="21"/>
    </row>
    <row r="156" customFormat="false" ht="15" hidden="false" customHeight="false" outlineLevel="2" collapsed="false">
      <c r="A156" s="16"/>
      <c r="B156" s="15" t="s">
        <v>435</v>
      </c>
      <c r="C156" s="35"/>
      <c r="D156" s="36" t="s">
        <v>436</v>
      </c>
      <c r="E156" s="19" t="s">
        <v>15</v>
      </c>
      <c r="F156" s="19" t="n">
        <v>3</v>
      </c>
      <c r="G156" s="19" t="n">
        <v>2</v>
      </c>
      <c r="H156" s="19" t="n">
        <f aca="false">F156-G156</f>
        <v>1</v>
      </c>
      <c r="I156" s="20"/>
      <c r="J156" s="21"/>
      <c r="K156" s="21" t="s">
        <v>437</v>
      </c>
    </row>
    <row r="157" customFormat="false" ht="15" hidden="false" customHeight="false" outlineLevel="2" collapsed="false">
      <c r="A157" s="16"/>
      <c r="B157" s="15" t="s">
        <v>438</v>
      </c>
      <c r="C157" s="35"/>
      <c r="D157" s="36" t="s">
        <v>439</v>
      </c>
      <c r="E157" s="19" t="s">
        <v>15</v>
      </c>
      <c r="F157" s="19" t="n">
        <v>2</v>
      </c>
      <c r="G157" s="19" t="n">
        <v>1</v>
      </c>
      <c r="H157" s="19" t="n">
        <f aca="false">F157-G157</f>
        <v>1</v>
      </c>
      <c r="I157" s="20"/>
      <c r="J157" s="21" t="s">
        <v>440</v>
      </c>
      <c r="K157" s="21" t="s">
        <v>441</v>
      </c>
    </row>
    <row r="158" customFormat="false" ht="15" hidden="false" customHeight="false" outlineLevel="0" collapsed="false">
      <c r="A158" s="31" t="s">
        <v>442</v>
      </c>
      <c r="B158" s="32" t="s">
        <v>443</v>
      </c>
      <c r="C158" s="37"/>
      <c r="D158" s="37"/>
      <c r="E158" s="14"/>
      <c r="F158" s="14" t="n">
        <f aca="false">SUM(F159:F165)</f>
        <v>11</v>
      </c>
      <c r="G158" s="14" t="n">
        <f aca="false">SUM(G159:G165)</f>
        <v>9</v>
      </c>
      <c r="H158" s="14" t="n">
        <f aca="false">SUM(H159:H165)</f>
        <v>2</v>
      </c>
      <c r="I158" s="13"/>
      <c r="J158" s="14"/>
      <c r="K158" s="14"/>
    </row>
    <row r="159" customFormat="false" ht="15" hidden="false" customHeight="false" outlineLevel="1" collapsed="false">
      <c r="A159" s="15" t="s">
        <v>444</v>
      </c>
      <c r="B159" s="16"/>
      <c r="C159" s="17" t="s">
        <v>445</v>
      </c>
      <c r="D159" s="18"/>
      <c r="E159" s="19"/>
      <c r="F159" s="19"/>
      <c r="G159" s="19"/>
      <c r="H159" s="19"/>
      <c r="I159" s="20"/>
      <c r="J159" s="21"/>
      <c r="K159" s="21"/>
    </row>
    <row r="160" customFormat="false" ht="15" hidden="false" customHeight="false" outlineLevel="2" collapsed="false">
      <c r="A160" s="16"/>
      <c r="B160" s="15" t="s">
        <v>446</v>
      </c>
      <c r="C160" s="17"/>
      <c r="D160" s="18" t="s">
        <v>447</v>
      </c>
      <c r="E160" s="19" t="s">
        <v>15</v>
      </c>
      <c r="F160" s="19" t="n">
        <v>3</v>
      </c>
      <c r="G160" s="19" t="n">
        <v>3</v>
      </c>
      <c r="H160" s="19" t="n">
        <f aca="false">F160-G160</f>
        <v>0</v>
      </c>
      <c r="I160" s="20"/>
      <c r="J160" s="21"/>
      <c r="K160" s="21" t="s">
        <v>448</v>
      </c>
    </row>
    <row r="161" customFormat="false" ht="15" hidden="false" customHeight="false" outlineLevel="2" collapsed="false">
      <c r="A161" s="16"/>
      <c r="B161" s="15" t="s">
        <v>449</v>
      </c>
      <c r="C161" s="17"/>
      <c r="D161" s="18" t="s">
        <v>450</v>
      </c>
      <c r="E161" s="19" t="s">
        <v>15</v>
      </c>
      <c r="F161" s="19" t="n">
        <v>2</v>
      </c>
      <c r="G161" s="19" t="n">
        <v>2</v>
      </c>
      <c r="H161" s="19" t="n">
        <f aca="false">F161-G161</f>
        <v>0</v>
      </c>
      <c r="I161" s="20"/>
      <c r="J161" s="21"/>
      <c r="K161" s="21" t="s">
        <v>451</v>
      </c>
    </row>
    <row r="162" customFormat="false" ht="15" hidden="false" customHeight="false" outlineLevel="2" collapsed="false">
      <c r="A162" s="16"/>
      <c r="B162" s="15" t="s">
        <v>452</v>
      </c>
      <c r="C162" s="17"/>
      <c r="D162" s="18" t="s">
        <v>453</v>
      </c>
      <c r="E162" s="19" t="s">
        <v>15</v>
      </c>
      <c r="F162" s="19" t="n">
        <v>2</v>
      </c>
      <c r="G162" s="19" t="n">
        <v>2</v>
      </c>
      <c r="H162" s="19" t="n">
        <f aca="false">F162-G162</f>
        <v>0</v>
      </c>
      <c r="I162" s="20"/>
      <c r="J162" s="21"/>
      <c r="K162" s="21" t="s">
        <v>454</v>
      </c>
    </row>
    <row r="163" customFormat="false" ht="15" hidden="false" customHeight="false" outlineLevel="2" collapsed="false">
      <c r="A163" s="16"/>
      <c r="B163" s="15" t="s">
        <v>455</v>
      </c>
      <c r="C163" s="17"/>
      <c r="D163" s="18" t="s">
        <v>456</v>
      </c>
      <c r="E163" s="19" t="s">
        <v>15</v>
      </c>
      <c r="F163" s="19" t="n">
        <v>2</v>
      </c>
      <c r="G163" s="19" t="n">
        <v>0</v>
      </c>
      <c r="H163" s="19" t="n">
        <f aca="false">F163-G163</f>
        <v>2</v>
      </c>
      <c r="I163" s="20"/>
      <c r="J163" s="21"/>
      <c r="K163" s="21"/>
    </row>
    <row r="164" customFormat="false" ht="15" hidden="false" customHeight="false" outlineLevel="2" collapsed="false">
      <c r="A164" s="16"/>
      <c r="B164" s="15" t="s">
        <v>457</v>
      </c>
      <c r="C164" s="17"/>
      <c r="D164" s="18" t="s">
        <v>458</v>
      </c>
      <c r="E164" s="19" t="s">
        <v>15</v>
      </c>
      <c r="F164" s="19" t="n">
        <v>2</v>
      </c>
      <c r="G164" s="19" t="n">
        <v>2</v>
      </c>
      <c r="H164" s="19" t="n">
        <f aca="false">F164-G164</f>
        <v>0</v>
      </c>
      <c r="I164" s="20"/>
      <c r="J164" s="21"/>
      <c r="K164" s="21" t="s">
        <v>459</v>
      </c>
    </row>
    <row r="165" customFormat="false" ht="15" hidden="false" customHeight="false" outlineLevel="1" collapsed="false">
      <c r="A165" s="15" t="s">
        <v>460</v>
      </c>
      <c r="B165" s="16"/>
      <c r="C165" s="17" t="s">
        <v>461</v>
      </c>
      <c r="D165" s="18"/>
      <c r="E165" s="19" t="s">
        <v>15</v>
      </c>
      <c r="F165" s="19"/>
      <c r="G165" s="19"/>
      <c r="H165" s="19"/>
      <c r="I165" s="44"/>
      <c r="J165" s="21"/>
      <c r="K165" s="21"/>
    </row>
    <row r="166" customFormat="false" ht="29.1" hidden="false" customHeight="true" outlineLevel="0" collapsed="false">
      <c r="A166" s="31" t="s">
        <v>462</v>
      </c>
      <c r="B166" s="32" t="s">
        <v>463</v>
      </c>
      <c r="C166" s="37"/>
      <c r="D166" s="37"/>
      <c r="E166" s="14"/>
      <c r="F166" s="14" t="n">
        <f aca="false">SUM(F167:AA172)</f>
        <v>32</v>
      </c>
      <c r="G166" s="14" t="n">
        <f aca="false">SUM(G167:AB172)</f>
        <v>16</v>
      </c>
      <c r="H166" s="14" t="n">
        <f aca="false">SUM(H167:AC172)</f>
        <v>15</v>
      </c>
      <c r="I166" s="13"/>
      <c r="J166" s="14"/>
      <c r="K166" s="14"/>
    </row>
    <row r="167" customFormat="false" ht="17.9" hidden="false" customHeight="false" outlineLevel="0" collapsed="false">
      <c r="A167" s="15" t="s">
        <v>464</v>
      </c>
      <c r="B167" s="16"/>
      <c r="C167" s="45" t="s">
        <v>465</v>
      </c>
      <c r="D167" s="18"/>
      <c r="E167" s="19" t="s">
        <v>62</v>
      </c>
      <c r="F167" s="19" t="n">
        <v>2</v>
      </c>
      <c r="G167" s="19" t="n">
        <v>1</v>
      </c>
      <c r="H167" s="19" t="n">
        <f aca="false">F167-G167</f>
        <v>1</v>
      </c>
      <c r="I167" s="20"/>
      <c r="J167" s="21" t="s">
        <v>466</v>
      </c>
      <c r="K167" s="21" t="s">
        <v>467</v>
      </c>
    </row>
    <row r="168" customFormat="false" ht="15" hidden="false" customHeight="false" outlineLevel="0" collapsed="false">
      <c r="A168" s="15" t="s">
        <v>468</v>
      </c>
      <c r="B168" s="16"/>
      <c r="C168" s="45" t="s">
        <v>203</v>
      </c>
      <c r="D168" s="18"/>
      <c r="E168" s="19" t="s">
        <v>62</v>
      </c>
      <c r="F168" s="19"/>
      <c r="G168" s="19"/>
      <c r="H168" s="19" t="n">
        <f aca="false">F168-G168</f>
        <v>0</v>
      </c>
      <c r="I168" s="20"/>
      <c r="J168" s="21"/>
      <c r="K168" s="21"/>
    </row>
    <row r="169" customFormat="false" ht="91" hidden="false" customHeight="false" outlineLevel="0" collapsed="false">
      <c r="A169" s="15" t="s">
        <v>469</v>
      </c>
      <c r="B169" s="16"/>
      <c r="C169" s="45" t="s">
        <v>266</v>
      </c>
      <c r="D169" s="18"/>
      <c r="E169" s="19" t="s">
        <v>62</v>
      </c>
      <c r="F169" s="19" t="n">
        <v>8</v>
      </c>
      <c r="G169" s="19"/>
      <c r="H169" s="19" t="n">
        <f aca="false">F169-G169</f>
        <v>8</v>
      </c>
      <c r="I169" s="20"/>
      <c r="J169" s="21" t="s">
        <v>470</v>
      </c>
      <c r="K169" s="21" t="s">
        <v>471</v>
      </c>
    </row>
    <row r="170" customFormat="false" ht="15" hidden="false" customHeight="false" outlineLevel="0" collapsed="false">
      <c r="A170" s="15" t="s">
        <v>472</v>
      </c>
      <c r="B170" s="16"/>
      <c r="C170" s="45" t="s">
        <v>225</v>
      </c>
      <c r="D170" s="18"/>
      <c r="E170" s="19" t="s">
        <v>62</v>
      </c>
      <c r="F170" s="19" t="n">
        <v>6</v>
      </c>
      <c r="G170" s="19"/>
      <c r="H170" s="19" t="n">
        <f aca="false">F170-G170</f>
        <v>6</v>
      </c>
      <c r="I170" s="20"/>
      <c r="J170" s="21" t="s">
        <v>473</v>
      </c>
      <c r="K170" s="21"/>
    </row>
    <row r="171" customFormat="false" ht="15" hidden="false" customHeight="false" outlineLevel="0" collapsed="false">
      <c r="A171" s="15" t="s">
        <v>474</v>
      </c>
      <c r="B171" s="16"/>
      <c r="C171" s="45" t="s">
        <v>284</v>
      </c>
      <c r="D171" s="18"/>
      <c r="E171" s="19" t="s">
        <v>62</v>
      </c>
      <c r="F171" s="19"/>
      <c r="G171" s="19"/>
      <c r="H171" s="19" t="n">
        <f aca="false">F171-G171</f>
        <v>0</v>
      </c>
      <c r="I171" s="20"/>
      <c r="J171" s="21"/>
      <c r="K171" s="21"/>
    </row>
    <row r="172" customFormat="false" ht="15" hidden="false" customHeight="false" outlineLevel="0" collapsed="false">
      <c r="A172" s="15" t="s">
        <v>475</v>
      </c>
      <c r="B172" s="16"/>
      <c r="C172" s="45" t="s">
        <v>476</v>
      </c>
      <c r="D172" s="18"/>
      <c r="E172" s="19" t="s">
        <v>62</v>
      </c>
      <c r="F172" s="19"/>
      <c r="G172" s="19"/>
      <c r="H172" s="19" t="n">
        <f aca="false">F172-G172</f>
        <v>0</v>
      </c>
      <c r="I172" s="20"/>
      <c r="J172" s="21"/>
      <c r="K172" s="21"/>
    </row>
    <row r="173" customFormat="false" ht="15" hidden="false" customHeight="false" outlineLevel="0" collapsed="false">
      <c r="A173" s="31" t="s">
        <v>477</v>
      </c>
      <c r="B173" s="32" t="s">
        <v>478</v>
      </c>
      <c r="C173" s="37"/>
      <c r="D173" s="37"/>
      <c r="E173" s="14"/>
      <c r="F173" s="14" t="n">
        <f aca="false">SUM(F174:F179)</f>
        <v>20</v>
      </c>
      <c r="G173" s="14" t="n">
        <f aca="false">SUM(G174:G179)</f>
        <v>20</v>
      </c>
      <c r="H173" s="14" t="n">
        <f aca="false">SUM(H174:H179)</f>
        <v>0</v>
      </c>
      <c r="I173" s="13"/>
      <c r="J173" s="14"/>
      <c r="K173" s="14"/>
    </row>
    <row r="174" customFormat="false" ht="15" hidden="false" customHeight="false" outlineLevel="0" collapsed="false">
      <c r="A174" s="15" t="s">
        <v>479</v>
      </c>
      <c r="B174" s="16"/>
      <c r="C174" s="17" t="s">
        <v>480</v>
      </c>
      <c r="D174" s="18"/>
      <c r="E174" s="19" t="s">
        <v>15</v>
      </c>
      <c r="F174" s="19" t="n">
        <v>1</v>
      </c>
      <c r="G174" s="19" t="n">
        <v>1</v>
      </c>
      <c r="H174" s="19" t="n">
        <f aca="false">F174-G174</f>
        <v>0</v>
      </c>
      <c r="I174" s="20"/>
      <c r="J174" s="21"/>
      <c r="K174" s="21" t="s">
        <v>481</v>
      </c>
    </row>
    <row r="175" customFormat="false" ht="23.85" hidden="false" customHeight="false" outlineLevel="0" collapsed="false">
      <c r="A175" s="15" t="s">
        <v>482</v>
      </c>
      <c r="B175" s="16"/>
      <c r="C175" s="17" t="s">
        <v>483</v>
      </c>
      <c r="D175" s="18"/>
      <c r="E175" s="19" t="s">
        <v>15</v>
      </c>
      <c r="F175" s="19" t="n">
        <v>9</v>
      </c>
      <c r="G175" s="19" t="n">
        <v>9</v>
      </c>
      <c r="H175" s="19" t="n">
        <f aca="false">F175-G175</f>
        <v>0</v>
      </c>
      <c r="I175" s="20"/>
      <c r="J175" s="21"/>
      <c r="K175" s="21" t="s">
        <v>484</v>
      </c>
    </row>
    <row r="176" customFormat="false" ht="17.9" hidden="false" customHeight="false" outlineLevel="0" collapsed="false">
      <c r="A176" s="15" t="s">
        <v>485</v>
      </c>
      <c r="B176" s="16"/>
      <c r="C176" s="17" t="s">
        <v>486</v>
      </c>
      <c r="D176" s="18"/>
      <c r="E176" s="19" t="s">
        <v>15</v>
      </c>
      <c r="F176" s="19" t="n">
        <v>3</v>
      </c>
      <c r="G176" s="19" t="n">
        <v>3</v>
      </c>
      <c r="H176" s="19" t="n">
        <f aca="false">F176-G176</f>
        <v>0</v>
      </c>
      <c r="I176" s="20"/>
      <c r="J176" s="21"/>
      <c r="K176" s="21" t="s">
        <v>487</v>
      </c>
    </row>
    <row r="177" customFormat="false" ht="57.45" hidden="false" customHeight="false" outlineLevel="0" collapsed="false">
      <c r="A177" s="15" t="s">
        <v>488</v>
      </c>
      <c r="B177" s="16"/>
      <c r="C177" s="17" t="s">
        <v>489</v>
      </c>
      <c r="D177" s="18"/>
      <c r="E177" s="19" t="s">
        <v>15</v>
      </c>
      <c r="F177" s="19" t="n">
        <v>3</v>
      </c>
      <c r="G177" s="19" t="n">
        <v>3</v>
      </c>
      <c r="H177" s="19" t="n">
        <f aca="false">F177-G177</f>
        <v>0</v>
      </c>
      <c r="I177" s="20"/>
      <c r="J177" s="21"/>
      <c r="K177" s="21" t="s">
        <v>490</v>
      </c>
      <c r="L177" s="43" t="s">
        <v>491</v>
      </c>
    </row>
    <row r="178" customFormat="false" ht="15" hidden="false" customHeight="false" outlineLevel="0" collapsed="false">
      <c r="A178" s="15" t="s">
        <v>492</v>
      </c>
      <c r="B178" s="16"/>
      <c r="C178" s="17" t="s">
        <v>284</v>
      </c>
      <c r="D178" s="18"/>
      <c r="E178" s="19" t="s">
        <v>15</v>
      </c>
      <c r="F178" s="19" t="n">
        <v>2</v>
      </c>
      <c r="G178" s="19" t="n">
        <v>2</v>
      </c>
      <c r="H178" s="19" t="n">
        <f aca="false">F178-G178</f>
        <v>0</v>
      </c>
      <c r="I178" s="20"/>
      <c r="J178" s="21"/>
      <c r="K178" s="21" t="s">
        <v>493</v>
      </c>
    </row>
    <row r="179" customFormat="false" ht="15" hidden="false" customHeight="false" outlineLevel="0" collapsed="false">
      <c r="A179" s="15" t="s">
        <v>494</v>
      </c>
      <c r="B179" s="16"/>
      <c r="C179" s="17" t="s">
        <v>476</v>
      </c>
      <c r="D179" s="18"/>
      <c r="E179" s="19" t="s">
        <v>15</v>
      </c>
      <c r="F179" s="19" t="n">
        <v>2</v>
      </c>
      <c r="G179" s="19" t="n">
        <v>2</v>
      </c>
      <c r="H179" s="19" t="n">
        <f aca="false">F179-G179</f>
        <v>0</v>
      </c>
      <c r="I179" s="20"/>
      <c r="J179" s="21"/>
      <c r="K179" s="21" t="s">
        <v>495</v>
      </c>
    </row>
    <row r="180" customFormat="false" ht="15" hidden="false" customHeight="false" outlineLevel="0" collapsed="false">
      <c r="A180" s="46" t="s">
        <v>496</v>
      </c>
      <c r="B180" s="47"/>
      <c r="C180" s="35"/>
      <c r="D180" s="18"/>
      <c r="E180" s="48"/>
      <c r="F180" s="48" t="n">
        <f aca="false">F3+F5+F23+F49+F67+F109+F158+F166+F173</f>
        <v>488</v>
      </c>
      <c r="G180" s="49" t="n">
        <f aca="false">G3+G5+G23+G49+G67+G109+G158+G166+G173</f>
        <v>398</v>
      </c>
      <c r="H180" s="50" t="n">
        <f aca="false">H3+H5+H23+H49+H67+H109+H158+H166+H173</f>
        <v>89</v>
      </c>
      <c r="I180" s="21"/>
      <c r="J180" s="21"/>
      <c r="K180" s="21"/>
    </row>
    <row r="181" customFormat="false" ht="15" hidden="false" customHeight="false" outlineLevel="0" collapsed="false">
      <c r="I181" s="51"/>
      <c r="K181" s="2"/>
    </row>
    <row r="182" customFormat="false" ht="15" hidden="false" customHeight="false" outlineLevel="0" collapsed="false">
      <c r="I182" s="51"/>
      <c r="K182" s="2"/>
    </row>
    <row r="183" customFormat="false" ht="15" hidden="false" customHeight="false" outlineLevel="0" collapsed="false">
      <c r="I183" s="51"/>
      <c r="K183" s="2"/>
    </row>
    <row r="184" customFormat="false" ht="15" hidden="false" customHeight="false" outlineLevel="0" collapsed="false">
      <c r="I184" s="51"/>
      <c r="K184" s="2"/>
    </row>
    <row r="185" customFormat="false" ht="15" hidden="false" customHeight="false" outlineLevel="0" collapsed="false">
      <c r="I185" s="51"/>
      <c r="K185" s="2"/>
    </row>
    <row r="186" customFormat="false" ht="15" hidden="false" customHeight="false" outlineLevel="0" collapsed="false">
      <c r="I186" s="51"/>
      <c r="K186" s="2"/>
    </row>
    <row r="187" customFormat="false" ht="15" hidden="false" customHeight="false" outlineLevel="0" collapsed="false">
      <c r="I187" s="51"/>
      <c r="K187" s="2"/>
    </row>
    <row r="188" customFormat="false" ht="15" hidden="false" customHeight="false" outlineLevel="0" collapsed="false">
      <c r="I188" s="51"/>
      <c r="K188" s="2"/>
    </row>
    <row r="189" customFormat="false" ht="15" hidden="false" customHeight="false" outlineLevel="0" collapsed="false">
      <c r="I189" s="51"/>
      <c r="K189" s="2"/>
    </row>
    <row r="190" customFormat="false" ht="15" hidden="false" customHeight="false" outlineLevel="0" collapsed="false">
      <c r="I190" s="51"/>
      <c r="K190" s="2"/>
    </row>
    <row r="191" customFormat="false" ht="15" hidden="false" customHeight="false" outlineLevel="0" collapsed="false">
      <c r="I191" s="51"/>
      <c r="K191" s="2"/>
    </row>
    <row r="192" customFormat="false" ht="15" hidden="false" customHeight="false" outlineLevel="0" collapsed="false">
      <c r="I192" s="51"/>
      <c r="K192" s="2"/>
    </row>
    <row r="193" customFormat="false" ht="15" hidden="false" customHeight="false" outlineLevel="0" collapsed="false">
      <c r="I193" s="51"/>
      <c r="K193" s="2"/>
    </row>
    <row r="194" customFormat="false" ht="15" hidden="false" customHeight="false" outlineLevel="0" collapsed="false">
      <c r="I194" s="51"/>
      <c r="K194" s="2"/>
    </row>
    <row r="195" customFormat="false" ht="15" hidden="false" customHeight="false" outlineLevel="0" collapsed="false">
      <c r="I195" s="51"/>
      <c r="K195" s="2"/>
    </row>
    <row r="196" customFormat="false" ht="15" hidden="false" customHeight="false" outlineLevel="0" collapsed="false">
      <c r="I196" s="51"/>
      <c r="K196" s="2"/>
    </row>
    <row r="197" customFormat="false" ht="15" hidden="false" customHeight="false" outlineLevel="0" collapsed="false">
      <c r="I197" s="51"/>
      <c r="K197" s="2"/>
    </row>
    <row r="198" customFormat="false" ht="15" hidden="false" customHeight="false" outlineLevel="0" collapsed="false">
      <c r="I198" s="51"/>
      <c r="K198" s="2"/>
    </row>
    <row r="199" customFormat="false" ht="15" hidden="false" customHeight="false" outlineLevel="0" collapsed="false">
      <c r="I199" s="51"/>
      <c r="K199" s="2"/>
    </row>
    <row r="200" customFormat="false" ht="15" hidden="false" customHeight="false" outlineLevel="0" collapsed="false">
      <c r="I200" s="51"/>
      <c r="K200" s="2"/>
    </row>
    <row r="201" customFormat="false" ht="15" hidden="false" customHeight="false" outlineLevel="0" collapsed="false">
      <c r="I201" s="51"/>
      <c r="K201" s="2"/>
    </row>
    <row r="202" customFormat="false" ht="15" hidden="false" customHeight="false" outlineLevel="0" collapsed="false">
      <c r="I202" s="51"/>
      <c r="K202" s="2"/>
    </row>
    <row r="203" customFormat="false" ht="15" hidden="false" customHeight="false" outlineLevel="0" collapsed="false">
      <c r="I203" s="51"/>
      <c r="K203" s="2"/>
    </row>
    <row r="204" customFormat="false" ht="15" hidden="false" customHeight="false" outlineLevel="0" collapsed="false">
      <c r="I204" s="51"/>
      <c r="K204" s="2"/>
    </row>
    <row r="205" customFormat="false" ht="15" hidden="false" customHeight="false" outlineLevel="0" collapsed="false">
      <c r="I205" s="51"/>
      <c r="K205" s="2"/>
    </row>
    <row r="206" customFormat="false" ht="15" hidden="false" customHeight="false" outlineLevel="0" collapsed="false">
      <c r="I206" s="51"/>
      <c r="K206" s="2"/>
    </row>
    <row r="207" customFormat="false" ht="15" hidden="false" customHeight="false" outlineLevel="0" collapsed="false">
      <c r="I207" s="51"/>
      <c r="K207" s="2"/>
    </row>
    <row r="208" customFormat="false" ht="15" hidden="false" customHeight="false" outlineLevel="0" collapsed="false">
      <c r="I208" s="51"/>
      <c r="K208" s="2"/>
    </row>
    <row r="209" customFormat="false" ht="15" hidden="false" customHeight="false" outlineLevel="0" collapsed="false">
      <c r="I209" s="51"/>
      <c r="K209" s="2"/>
    </row>
    <row r="210" customFormat="false" ht="15" hidden="false" customHeight="false" outlineLevel="0" collapsed="false">
      <c r="I210" s="51"/>
      <c r="K210" s="2"/>
    </row>
    <row r="211" customFormat="false" ht="15" hidden="false" customHeight="false" outlineLevel="0" collapsed="false">
      <c r="I211" s="51"/>
      <c r="K211" s="2"/>
    </row>
    <row r="212" customFormat="false" ht="15" hidden="false" customHeight="false" outlineLevel="0" collapsed="false">
      <c r="I212" s="51"/>
      <c r="K212" s="2"/>
    </row>
    <row r="213" customFormat="false" ht="15" hidden="false" customHeight="false" outlineLevel="0" collapsed="false">
      <c r="I213" s="51"/>
      <c r="K213" s="2"/>
    </row>
    <row r="214" customFormat="false" ht="15" hidden="false" customHeight="false" outlineLevel="0" collapsed="false">
      <c r="I214" s="51"/>
      <c r="K214" s="2"/>
    </row>
    <row r="215" customFormat="false" ht="15" hidden="false" customHeight="false" outlineLevel="0" collapsed="false">
      <c r="I215" s="51"/>
      <c r="K215" s="2"/>
    </row>
    <row r="216" customFormat="false" ht="15" hidden="false" customHeight="false" outlineLevel="0" collapsed="false">
      <c r="I216" s="51"/>
      <c r="K216" s="2"/>
    </row>
    <row r="217" customFormat="false" ht="15" hidden="false" customHeight="false" outlineLevel="0" collapsed="false">
      <c r="I217" s="51"/>
      <c r="K217" s="2"/>
    </row>
    <row r="218" customFormat="false" ht="15" hidden="false" customHeight="false" outlineLevel="0" collapsed="false">
      <c r="I218" s="51"/>
      <c r="K218" s="2"/>
    </row>
    <row r="219" customFormat="false" ht="15" hidden="false" customHeight="false" outlineLevel="0" collapsed="false">
      <c r="I219" s="51"/>
      <c r="K219" s="2"/>
    </row>
    <row r="220" customFormat="false" ht="15" hidden="false" customHeight="false" outlineLevel="0" collapsed="false">
      <c r="I220" s="51"/>
      <c r="K220" s="2"/>
    </row>
    <row r="221" customFormat="false" ht="15" hidden="false" customHeight="false" outlineLevel="0" collapsed="false">
      <c r="I221" s="51"/>
      <c r="K221" s="2"/>
    </row>
    <row r="222" customFormat="false" ht="15" hidden="false" customHeight="false" outlineLevel="0" collapsed="false">
      <c r="I222" s="51"/>
      <c r="K222" s="2"/>
    </row>
    <row r="223" customFormat="false" ht="15" hidden="false" customHeight="false" outlineLevel="0" collapsed="false">
      <c r="I223" s="51"/>
      <c r="K223" s="2"/>
    </row>
    <row r="224" customFormat="false" ht="15" hidden="false" customHeight="false" outlineLevel="0" collapsed="false">
      <c r="I224" s="51"/>
      <c r="K224" s="2"/>
    </row>
    <row r="225" customFormat="false" ht="15" hidden="false" customHeight="false" outlineLevel="0" collapsed="false">
      <c r="I225" s="51"/>
      <c r="K225" s="2"/>
    </row>
    <row r="226" customFormat="false" ht="15" hidden="false" customHeight="false" outlineLevel="0" collapsed="false">
      <c r="I226" s="51"/>
      <c r="K226" s="2"/>
    </row>
    <row r="227" customFormat="false" ht="15" hidden="false" customHeight="false" outlineLevel="0" collapsed="false">
      <c r="I227" s="51"/>
      <c r="K227" s="2"/>
    </row>
    <row r="228" customFormat="false" ht="15" hidden="false" customHeight="false" outlineLevel="0" collapsed="false">
      <c r="I228" s="51"/>
      <c r="K228" s="2"/>
    </row>
    <row r="229" customFormat="false" ht="15" hidden="false" customHeight="false" outlineLevel="0" collapsed="false">
      <c r="I229" s="51"/>
      <c r="K229" s="2"/>
    </row>
    <row r="230" customFormat="false" ht="15" hidden="false" customHeight="false" outlineLevel="0" collapsed="false">
      <c r="I230" s="51"/>
      <c r="K230" s="2"/>
    </row>
    <row r="231" customFormat="false" ht="15" hidden="false" customHeight="false" outlineLevel="0" collapsed="false">
      <c r="I231" s="51"/>
      <c r="K231" s="2"/>
    </row>
    <row r="232" customFormat="false" ht="15" hidden="false" customHeight="false" outlineLevel="0" collapsed="false">
      <c r="I232" s="51"/>
      <c r="K232" s="2"/>
    </row>
    <row r="233" customFormat="false" ht="15" hidden="false" customHeight="false" outlineLevel="0" collapsed="false">
      <c r="I233" s="51"/>
      <c r="K233" s="2"/>
    </row>
    <row r="234" customFormat="false" ht="15" hidden="false" customHeight="false" outlineLevel="0" collapsed="false">
      <c r="I234" s="51"/>
      <c r="K234" s="2"/>
    </row>
    <row r="235" customFormat="false" ht="15" hidden="false" customHeight="false" outlineLevel="0" collapsed="false">
      <c r="I235" s="51"/>
      <c r="K235" s="2"/>
    </row>
    <row r="236" customFormat="false" ht="15" hidden="false" customHeight="false" outlineLevel="0" collapsed="false">
      <c r="I236" s="51"/>
      <c r="K236" s="2"/>
    </row>
    <row r="237" customFormat="false" ht="15" hidden="false" customHeight="false" outlineLevel="0" collapsed="false">
      <c r="I237" s="51"/>
      <c r="K237" s="2"/>
    </row>
    <row r="238" customFormat="false" ht="15" hidden="false" customHeight="false" outlineLevel="0" collapsed="false">
      <c r="I238" s="51"/>
      <c r="K238" s="2"/>
    </row>
    <row r="239" customFormat="false" ht="15" hidden="false" customHeight="false" outlineLevel="0" collapsed="false">
      <c r="I239" s="51"/>
      <c r="K239" s="2"/>
    </row>
    <row r="240" customFormat="false" ht="15" hidden="false" customHeight="false" outlineLevel="0" collapsed="false">
      <c r="I240" s="51"/>
      <c r="K240" s="2"/>
    </row>
    <row r="241" customFormat="false" ht="15" hidden="false" customHeight="false" outlineLevel="0" collapsed="false">
      <c r="I241" s="51"/>
      <c r="K241" s="2"/>
    </row>
    <row r="242" customFormat="false" ht="15" hidden="false" customHeight="false" outlineLevel="0" collapsed="false">
      <c r="I242" s="51"/>
      <c r="K242" s="2"/>
    </row>
    <row r="243" customFormat="false" ht="15" hidden="false" customHeight="false" outlineLevel="0" collapsed="false">
      <c r="I243" s="51"/>
      <c r="K243" s="2"/>
    </row>
    <row r="244" customFormat="false" ht="15" hidden="false" customHeight="false" outlineLevel="0" collapsed="false">
      <c r="I244" s="51"/>
      <c r="K244" s="2"/>
    </row>
    <row r="245" customFormat="false" ht="15" hidden="false" customHeight="false" outlineLevel="0" collapsed="false">
      <c r="I245" s="51"/>
      <c r="K245" s="2"/>
    </row>
    <row r="246" customFormat="false" ht="15" hidden="false" customHeight="false" outlineLevel="0" collapsed="false">
      <c r="I246" s="51"/>
      <c r="K246" s="2"/>
    </row>
    <row r="247" customFormat="false" ht="15" hidden="false" customHeight="false" outlineLevel="0" collapsed="false">
      <c r="I247" s="51"/>
      <c r="K247" s="2"/>
    </row>
    <row r="248" customFormat="false" ht="15" hidden="false" customHeight="false" outlineLevel="0" collapsed="false">
      <c r="I248" s="51"/>
      <c r="K248" s="2"/>
    </row>
    <row r="249" customFormat="false" ht="15" hidden="false" customHeight="false" outlineLevel="0" collapsed="false">
      <c r="I249" s="51"/>
      <c r="K249" s="2"/>
    </row>
    <row r="250" customFormat="false" ht="15" hidden="false" customHeight="false" outlineLevel="0" collapsed="false">
      <c r="I250" s="51"/>
      <c r="K250" s="2"/>
    </row>
    <row r="251" customFormat="false" ht="15" hidden="false" customHeight="false" outlineLevel="0" collapsed="false">
      <c r="I251" s="51"/>
      <c r="K251" s="2"/>
    </row>
    <row r="252" customFormat="false" ht="15" hidden="false" customHeight="false" outlineLevel="0" collapsed="false">
      <c r="I252" s="51"/>
      <c r="K252" s="2"/>
    </row>
    <row r="253" customFormat="false" ht="15" hidden="false" customHeight="false" outlineLevel="0" collapsed="false">
      <c r="I253" s="51"/>
      <c r="K253" s="2"/>
    </row>
    <row r="254" customFormat="false" ht="15" hidden="false" customHeight="false" outlineLevel="0" collapsed="false">
      <c r="I254" s="51"/>
      <c r="K254" s="2"/>
    </row>
    <row r="255" customFormat="false" ht="15" hidden="false" customHeight="false" outlineLevel="0" collapsed="false">
      <c r="I255" s="51"/>
      <c r="K255" s="2"/>
    </row>
    <row r="256" customFormat="false" ht="15" hidden="false" customHeight="false" outlineLevel="0" collapsed="false">
      <c r="I256" s="51"/>
      <c r="K256" s="2"/>
    </row>
    <row r="257" customFormat="false" ht="15" hidden="false" customHeight="false" outlineLevel="0" collapsed="false">
      <c r="I257" s="51"/>
      <c r="K257" s="2"/>
    </row>
    <row r="258" customFormat="false" ht="15" hidden="false" customHeight="false" outlineLevel="0" collapsed="false">
      <c r="I258" s="51"/>
      <c r="K258" s="2"/>
    </row>
    <row r="259" customFormat="false" ht="15" hidden="false" customHeight="false" outlineLevel="0" collapsed="false">
      <c r="I259" s="51"/>
      <c r="K259" s="2"/>
    </row>
    <row r="260" customFormat="false" ht="15" hidden="false" customHeight="false" outlineLevel="0" collapsed="false">
      <c r="I260" s="51"/>
      <c r="K260" s="2"/>
    </row>
    <row r="261" customFormat="false" ht="15" hidden="false" customHeight="false" outlineLevel="0" collapsed="false">
      <c r="I261" s="51"/>
      <c r="K261" s="2"/>
    </row>
    <row r="262" customFormat="false" ht="15" hidden="false" customHeight="false" outlineLevel="0" collapsed="false">
      <c r="I262" s="51"/>
      <c r="K262" s="2"/>
    </row>
    <row r="263" customFormat="false" ht="15" hidden="false" customHeight="false" outlineLevel="0" collapsed="false">
      <c r="I263" s="51"/>
      <c r="K263" s="2"/>
    </row>
    <row r="264" customFormat="false" ht="15" hidden="false" customHeight="false" outlineLevel="0" collapsed="false">
      <c r="I264" s="51"/>
      <c r="K264" s="2"/>
    </row>
    <row r="265" customFormat="false" ht="15" hidden="false" customHeight="false" outlineLevel="0" collapsed="false">
      <c r="I265" s="51"/>
      <c r="K265" s="2"/>
    </row>
    <row r="266" customFormat="false" ht="15" hidden="false" customHeight="false" outlineLevel="0" collapsed="false">
      <c r="I266" s="51"/>
      <c r="K266" s="2"/>
    </row>
    <row r="267" customFormat="false" ht="15" hidden="false" customHeight="false" outlineLevel="0" collapsed="false">
      <c r="I267" s="51"/>
      <c r="K267" s="2"/>
    </row>
    <row r="268" customFormat="false" ht="15" hidden="false" customHeight="false" outlineLevel="0" collapsed="false">
      <c r="I268" s="51"/>
      <c r="K268" s="2"/>
    </row>
    <row r="269" customFormat="false" ht="15" hidden="false" customHeight="false" outlineLevel="0" collapsed="false">
      <c r="I269" s="51"/>
      <c r="K269" s="2"/>
    </row>
    <row r="270" customFormat="false" ht="15" hidden="false" customHeight="false" outlineLevel="0" collapsed="false">
      <c r="I270" s="51"/>
      <c r="K270" s="2"/>
    </row>
    <row r="271" customFormat="false" ht="15" hidden="false" customHeight="false" outlineLevel="0" collapsed="false">
      <c r="I271" s="51"/>
      <c r="K271" s="2"/>
    </row>
    <row r="272" customFormat="false" ht="15" hidden="false" customHeight="false" outlineLevel="0" collapsed="false">
      <c r="I272" s="51"/>
      <c r="K272" s="2"/>
    </row>
    <row r="273" customFormat="false" ht="15" hidden="false" customHeight="false" outlineLevel="0" collapsed="false">
      <c r="I273" s="51"/>
      <c r="K273" s="2"/>
    </row>
    <row r="274" customFormat="false" ht="15" hidden="false" customHeight="false" outlineLevel="0" collapsed="false">
      <c r="I274" s="51"/>
      <c r="K274" s="2"/>
    </row>
    <row r="275" customFormat="false" ht="15" hidden="false" customHeight="false" outlineLevel="0" collapsed="false">
      <c r="I275" s="51"/>
      <c r="K275" s="2"/>
    </row>
    <row r="276" customFormat="false" ht="15" hidden="false" customHeight="false" outlineLevel="0" collapsed="false">
      <c r="I276" s="51"/>
      <c r="K276" s="2"/>
    </row>
    <row r="277" customFormat="false" ht="15" hidden="false" customHeight="false" outlineLevel="0" collapsed="false">
      <c r="I277" s="51"/>
      <c r="K277" s="2"/>
    </row>
    <row r="278" customFormat="false" ht="15" hidden="false" customHeight="false" outlineLevel="0" collapsed="false">
      <c r="I278" s="51"/>
      <c r="K278" s="2"/>
    </row>
    <row r="279" customFormat="false" ht="15" hidden="false" customHeight="false" outlineLevel="0" collapsed="false">
      <c r="I279" s="51"/>
      <c r="K279" s="2"/>
    </row>
    <row r="280" customFormat="false" ht="15" hidden="false" customHeight="false" outlineLevel="0" collapsed="false">
      <c r="I280" s="51"/>
      <c r="K280" s="2"/>
    </row>
    <row r="281" customFormat="false" ht="15" hidden="false" customHeight="false" outlineLevel="0" collapsed="false">
      <c r="I281" s="51"/>
      <c r="K281" s="2"/>
    </row>
    <row r="282" customFormat="false" ht="15" hidden="false" customHeight="false" outlineLevel="0" collapsed="false">
      <c r="I282" s="51"/>
      <c r="K282" s="2"/>
    </row>
    <row r="283" customFormat="false" ht="15" hidden="false" customHeight="false" outlineLevel="0" collapsed="false">
      <c r="I283" s="51"/>
      <c r="K283" s="2"/>
    </row>
    <row r="284" customFormat="false" ht="15" hidden="false" customHeight="false" outlineLevel="0" collapsed="false">
      <c r="I284" s="51"/>
      <c r="K284" s="2"/>
    </row>
    <row r="285" customFormat="false" ht="15" hidden="false" customHeight="false" outlineLevel="0" collapsed="false">
      <c r="I285" s="51"/>
      <c r="K285" s="2"/>
    </row>
    <row r="286" customFormat="false" ht="15" hidden="false" customHeight="false" outlineLevel="0" collapsed="false">
      <c r="I286" s="51"/>
      <c r="K286" s="2"/>
    </row>
    <row r="287" customFormat="false" ht="15" hidden="false" customHeight="false" outlineLevel="0" collapsed="false">
      <c r="I287" s="51"/>
      <c r="K287" s="2"/>
    </row>
    <row r="288" customFormat="false" ht="15" hidden="false" customHeight="false" outlineLevel="0" collapsed="false">
      <c r="I288" s="51"/>
      <c r="K288" s="2"/>
    </row>
    <row r="289" customFormat="false" ht="15" hidden="false" customHeight="false" outlineLevel="0" collapsed="false">
      <c r="I289" s="51"/>
      <c r="K289" s="2"/>
    </row>
    <row r="290" customFormat="false" ht="15" hidden="false" customHeight="false" outlineLevel="0" collapsed="false">
      <c r="I290" s="51"/>
      <c r="K290" s="2"/>
    </row>
    <row r="291" customFormat="false" ht="15" hidden="false" customHeight="false" outlineLevel="0" collapsed="false">
      <c r="I291" s="51"/>
      <c r="K291" s="2"/>
    </row>
    <row r="292" customFormat="false" ht="15" hidden="false" customHeight="false" outlineLevel="0" collapsed="false">
      <c r="I292" s="51"/>
      <c r="K292" s="2"/>
    </row>
    <row r="293" customFormat="false" ht="15" hidden="false" customHeight="false" outlineLevel="0" collapsed="false">
      <c r="I293" s="51"/>
      <c r="K293" s="2"/>
    </row>
    <row r="294" customFormat="false" ht="15" hidden="false" customHeight="false" outlineLevel="0" collapsed="false">
      <c r="I294" s="51"/>
      <c r="K294" s="2"/>
    </row>
    <row r="295" customFormat="false" ht="15" hidden="false" customHeight="false" outlineLevel="0" collapsed="false">
      <c r="I295" s="51"/>
      <c r="K295" s="2"/>
    </row>
    <row r="296" customFormat="false" ht="15" hidden="false" customHeight="false" outlineLevel="0" collapsed="false">
      <c r="I296" s="51"/>
      <c r="K296" s="2"/>
    </row>
    <row r="297" customFormat="false" ht="15" hidden="false" customHeight="false" outlineLevel="0" collapsed="false">
      <c r="I297" s="51"/>
      <c r="K297" s="2"/>
    </row>
    <row r="298" customFormat="false" ht="15" hidden="false" customHeight="false" outlineLevel="0" collapsed="false">
      <c r="I298" s="51"/>
      <c r="K298" s="2"/>
    </row>
    <row r="299" customFormat="false" ht="15" hidden="false" customHeight="false" outlineLevel="0" collapsed="false">
      <c r="I299" s="51"/>
      <c r="K299" s="2"/>
    </row>
    <row r="300" customFormat="false" ht="15" hidden="false" customHeight="false" outlineLevel="0" collapsed="false">
      <c r="I300" s="51"/>
      <c r="K300" s="2"/>
    </row>
    <row r="301" customFormat="false" ht="15" hidden="false" customHeight="false" outlineLevel="0" collapsed="false">
      <c r="I301" s="51"/>
      <c r="K301" s="2"/>
    </row>
    <row r="302" customFormat="false" ht="15" hidden="false" customHeight="false" outlineLevel="0" collapsed="false">
      <c r="I302" s="51"/>
      <c r="K302" s="2"/>
    </row>
    <row r="303" customFormat="false" ht="15" hidden="false" customHeight="false" outlineLevel="0" collapsed="false">
      <c r="I303" s="51"/>
      <c r="K303" s="2"/>
    </row>
    <row r="304" customFormat="false" ht="15" hidden="false" customHeight="false" outlineLevel="0" collapsed="false">
      <c r="I304" s="51"/>
      <c r="K304" s="2"/>
    </row>
    <row r="305" customFormat="false" ht="15" hidden="false" customHeight="false" outlineLevel="0" collapsed="false">
      <c r="I305" s="51"/>
      <c r="K305" s="2"/>
    </row>
    <row r="306" customFormat="false" ht="15" hidden="false" customHeight="false" outlineLevel="0" collapsed="false">
      <c r="I306" s="51"/>
      <c r="K306" s="2"/>
    </row>
    <row r="307" customFormat="false" ht="15" hidden="false" customHeight="false" outlineLevel="0" collapsed="false">
      <c r="I307" s="51"/>
      <c r="K307" s="2"/>
    </row>
    <row r="308" customFormat="false" ht="15" hidden="false" customHeight="false" outlineLevel="0" collapsed="false">
      <c r="I308" s="51"/>
      <c r="K308" s="2"/>
    </row>
    <row r="309" customFormat="false" ht="15" hidden="false" customHeight="false" outlineLevel="0" collapsed="false">
      <c r="I309" s="51"/>
      <c r="K309" s="2"/>
    </row>
    <row r="310" customFormat="false" ht="15" hidden="false" customHeight="false" outlineLevel="0" collapsed="false">
      <c r="I310" s="51"/>
      <c r="K310" s="2"/>
    </row>
    <row r="311" customFormat="false" ht="15" hidden="false" customHeight="false" outlineLevel="0" collapsed="false">
      <c r="I311" s="51"/>
      <c r="K311" s="2"/>
    </row>
    <row r="312" customFormat="false" ht="15" hidden="false" customHeight="false" outlineLevel="0" collapsed="false">
      <c r="I312" s="51"/>
      <c r="K312" s="2"/>
    </row>
    <row r="313" customFormat="false" ht="15" hidden="false" customHeight="false" outlineLevel="0" collapsed="false">
      <c r="I313" s="51"/>
      <c r="K313" s="2"/>
    </row>
    <row r="314" customFormat="false" ht="15" hidden="false" customHeight="false" outlineLevel="0" collapsed="false">
      <c r="I314" s="51"/>
      <c r="K314" s="2"/>
    </row>
    <row r="315" customFormat="false" ht="15" hidden="false" customHeight="false" outlineLevel="0" collapsed="false">
      <c r="I315" s="51"/>
      <c r="K315" s="2"/>
    </row>
    <row r="316" customFormat="false" ht="15" hidden="false" customHeight="false" outlineLevel="0" collapsed="false">
      <c r="I316" s="51"/>
      <c r="K316" s="2"/>
    </row>
    <row r="317" customFormat="false" ht="15" hidden="false" customHeight="false" outlineLevel="0" collapsed="false">
      <c r="I317" s="51"/>
      <c r="K317" s="2"/>
    </row>
    <row r="318" customFormat="false" ht="15" hidden="false" customHeight="false" outlineLevel="0" collapsed="false">
      <c r="I318" s="51"/>
      <c r="K318" s="2"/>
    </row>
    <row r="319" customFormat="false" ht="15" hidden="false" customHeight="false" outlineLevel="0" collapsed="false">
      <c r="I319" s="51"/>
      <c r="K319" s="2"/>
    </row>
    <row r="320" customFormat="false" ht="15" hidden="false" customHeight="false" outlineLevel="0" collapsed="false">
      <c r="I320" s="51"/>
      <c r="K320" s="2"/>
    </row>
    <row r="321" customFormat="false" ht="15" hidden="false" customHeight="false" outlineLevel="0" collapsed="false">
      <c r="I321" s="51"/>
      <c r="K321" s="2"/>
    </row>
    <row r="322" customFormat="false" ht="15" hidden="false" customHeight="false" outlineLevel="0" collapsed="false">
      <c r="I322" s="51"/>
      <c r="K322" s="2"/>
    </row>
    <row r="323" customFormat="false" ht="15" hidden="false" customHeight="false" outlineLevel="0" collapsed="false">
      <c r="I323" s="51"/>
      <c r="K323" s="2"/>
    </row>
    <row r="324" customFormat="false" ht="15" hidden="false" customHeight="false" outlineLevel="0" collapsed="false">
      <c r="I324" s="51"/>
      <c r="K324" s="2"/>
    </row>
    <row r="325" customFormat="false" ht="15" hidden="false" customHeight="false" outlineLevel="0" collapsed="false">
      <c r="I325" s="51"/>
      <c r="K325" s="2"/>
    </row>
    <row r="326" customFormat="false" ht="15" hidden="false" customHeight="false" outlineLevel="0" collapsed="false">
      <c r="I326" s="51"/>
      <c r="K326" s="2"/>
    </row>
    <row r="327" customFormat="false" ht="15" hidden="false" customHeight="false" outlineLevel="0" collapsed="false">
      <c r="I327" s="51"/>
      <c r="K327" s="2"/>
    </row>
    <row r="328" customFormat="false" ht="15" hidden="false" customHeight="false" outlineLevel="0" collapsed="false">
      <c r="I328" s="51"/>
      <c r="K328" s="2"/>
    </row>
    <row r="329" customFormat="false" ht="15" hidden="false" customHeight="false" outlineLevel="0" collapsed="false">
      <c r="I329" s="51"/>
      <c r="K329" s="2"/>
    </row>
    <row r="330" customFormat="false" ht="15" hidden="false" customHeight="false" outlineLevel="0" collapsed="false">
      <c r="I330" s="51"/>
      <c r="K330" s="2"/>
    </row>
    <row r="331" customFormat="false" ht="15" hidden="false" customHeight="false" outlineLevel="0" collapsed="false">
      <c r="I331" s="51"/>
      <c r="K331" s="2"/>
    </row>
    <row r="332" customFormat="false" ht="15" hidden="false" customHeight="false" outlineLevel="0" collapsed="false">
      <c r="I332" s="51"/>
      <c r="K332" s="2"/>
    </row>
    <row r="333" customFormat="false" ht="15" hidden="false" customHeight="false" outlineLevel="0" collapsed="false">
      <c r="I333" s="51"/>
      <c r="K333" s="2"/>
    </row>
    <row r="334" customFormat="false" ht="15" hidden="false" customHeight="false" outlineLevel="0" collapsed="false">
      <c r="I334" s="51"/>
      <c r="K334" s="2"/>
    </row>
    <row r="335" customFormat="false" ht="15" hidden="false" customHeight="false" outlineLevel="0" collapsed="false">
      <c r="I335" s="51"/>
      <c r="K335" s="2"/>
    </row>
    <row r="336" customFormat="false" ht="15" hidden="false" customHeight="false" outlineLevel="0" collapsed="false">
      <c r="I336" s="51"/>
      <c r="K336" s="2"/>
    </row>
    <row r="337" customFormat="false" ht="15" hidden="false" customHeight="false" outlineLevel="0" collapsed="false">
      <c r="I337" s="51"/>
      <c r="K337" s="2"/>
    </row>
    <row r="338" customFormat="false" ht="15" hidden="false" customHeight="false" outlineLevel="0" collapsed="false">
      <c r="I338" s="51"/>
      <c r="K338" s="2"/>
    </row>
    <row r="339" customFormat="false" ht="15" hidden="false" customHeight="false" outlineLevel="0" collapsed="false">
      <c r="I339" s="51"/>
      <c r="K339" s="2"/>
    </row>
    <row r="340" customFormat="false" ht="15" hidden="false" customHeight="false" outlineLevel="0" collapsed="false">
      <c r="I340" s="51"/>
      <c r="K340" s="2"/>
    </row>
    <row r="341" customFormat="false" ht="15" hidden="false" customHeight="false" outlineLevel="0" collapsed="false">
      <c r="I341" s="51"/>
      <c r="K341" s="2"/>
    </row>
    <row r="342" customFormat="false" ht="15" hidden="false" customHeight="false" outlineLevel="0" collapsed="false">
      <c r="I342" s="51"/>
      <c r="K342" s="2"/>
    </row>
    <row r="343" customFormat="false" ht="15" hidden="false" customHeight="false" outlineLevel="0" collapsed="false">
      <c r="I343" s="51"/>
      <c r="K343" s="2"/>
    </row>
    <row r="344" customFormat="false" ht="15" hidden="false" customHeight="false" outlineLevel="0" collapsed="false">
      <c r="I344" s="51"/>
      <c r="K344" s="2"/>
    </row>
    <row r="345" customFormat="false" ht="15" hidden="false" customHeight="false" outlineLevel="0" collapsed="false">
      <c r="I345" s="51"/>
      <c r="K345" s="2"/>
    </row>
    <row r="346" customFormat="false" ht="15" hidden="false" customHeight="false" outlineLevel="0" collapsed="false">
      <c r="I346" s="51"/>
      <c r="K346" s="2"/>
    </row>
    <row r="347" customFormat="false" ht="15" hidden="false" customHeight="false" outlineLevel="0" collapsed="false">
      <c r="I347" s="51"/>
      <c r="K347" s="2"/>
    </row>
    <row r="348" customFormat="false" ht="15" hidden="false" customHeight="false" outlineLevel="0" collapsed="false">
      <c r="I348" s="51"/>
      <c r="K348" s="2"/>
    </row>
    <row r="349" customFormat="false" ht="15" hidden="false" customHeight="false" outlineLevel="0" collapsed="false">
      <c r="I349" s="51"/>
      <c r="K349" s="2"/>
    </row>
    <row r="350" customFormat="false" ht="15" hidden="false" customHeight="false" outlineLevel="0" collapsed="false">
      <c r="I350" s="51"/>
      <c r="K350" s="2"/>
    </row>
    <row r="351" customFormat="false" ht="15" hidden="false" customHeight="false" outlineLevel="0" collapsed="false">
      <c r="I351" s="51"/>
      <c r="K351" s="2"/>
    </row>
    <row r="352" customFormat="false" ht="15" hidden="false" customHeight="false" outlineLevel="0" collapsed="false">
      <c r="I352" s="51"/>
      <c r="K352" s="2"/>
    </row>
    <row r="353" customFormat="false" ht="15" hidden="false" customHeight="false" outlineLevel="0" collapsed="false">
      <c r="I353" s="51"/>
      <c r="K353" s="2"/>
    </row>
    <row r="354" customFormat="false" ht="15" hidden="false" customHeight="false" outlineLevel="0" collapsed="false">
      <c r="I354" s="51"/>
      <c r="K354" s="2"/>
    </row>
    <row r="355" customFormat="false" ht="15" hidden="false" customHeight="false" outlineLevel="0" collapsed="false">
      <c r="I355" s="51"/>
      <c r="K355" s="2"/>
    </row>
    <row r="356" customFormat="false" ht="15" hidden="false" customHeight="false" outlineLevel="0" collapsed="false">
      <c r="I356" s="51"/>
      <c r="K356" s="2"/>
    </row>
    <row r="357" customFormat="false" ht="15" hidden="false" customHeight="false" outlineLevel="0" collapsed="false">
      <c r="I357" s="51"/>
      <c r="K357" s="2"/>
    </row>
    <row r="358" customFormat="false" ht="15" hidden="false" customHeight="false" outlineLevel="0" collapsed="false">
      <c r="I358" s="51"/>
      <c r="K358" s="2"/>
    </row>
    <row r="359" customFormat="false" ht="15" hidden="false" customHeight="false" outlineLevel="0" collapsed="false">
      <c r="I359" s="51"/>
      <c r="K359" s="2"/>
    </row>
    <row r="360" customFormat="false" ht="15" hidden="false" customHeight="false" outlineLevel="0" collapsed="false">
      <c r="I360" s="51"/>
      <c r="K360" s="2"/>
    </row>
    <row r="361" customFormat="false" ht="15" hidden="false" customHeight="false" outlineLevel="0" collapsed="false">
      <c r="I361" s="51"/>
      <c r="K361" s="2"/>
    </row>
    <row r="362" customFormat="false" ht="15" hidden="false" customHeight="false" outlineLevel="0" collapsed="false">
      <c r="I362" s="51"/>
      <c r="K362" s="2"/>
    </row>
    <row r="363" customFormat="false" ht="15" hidden="false" customHeight="false" outlineLevel="0" collapsed="false">
      <c r="I363" s="51"/>
      <c r="K363" s="2"/>
    </row>
    <row r="364" customFormat="false" ht="15" hidden="false" customHeight="false" outlineLevel="0" collapsed="false">
      <c r="I364" s="51"/>
      <c r="K364" s="2"/>
    </row>
    <row r="365" customFormat="false" ht="15" hidden="false" customHeight="false" outlineLevel="0" collapsed="false">
      <c r="I365" s="51"/>
      <c r="K365" s="2"/>
    </row>
    <row r="366" customFormat="false" ht="15" hidden="false" customHeight="false" outlineLevel="0" collapsed="false">
      <c r="I366" s="51"/>
      <c r="K366" s="2"/>
    </row>
    <row r="367" customFormat="false" ht="15" hidden="false" customHeight="false" outlineLevel="0" collapsed="false">
      <c r="I367" s="51"/>
      <c r="K367" s="2"/>
    </row>
    <row r="368" customFormat="false" ht="15" hidden="false" customHeight="false" outlineLevel="0" collapsed="false">
      <c r="I368" s="51"/>
      <c r="K368" s="2"/>
    </row>
    <row r="369" customFormat="false" ht="15" hidden="false" customHeight="false" outlineLevel="0" collapsed="false">
      <c r="I369" s="51"/>
      <c r="K369" s="2"/>
    </row>
    <row r="370" customFormat="false" ht="15" hidden="false" customHeight="false" outlineLevel="0" collapsed="false">
      <c r="I370" s="51"/>
      <c r="K370" s="2"/>
    </row>
    <row r="371" customFormat="false" ht="15" hidden="false" customHeight="false" outlineLevel="0" collapsed="false">
      <c r="I371" s="51"/>
      <c r="K371" s="2"/>
    </row>
    <row r="372" customFormat="false" ht="15" hidden="false" customHeight="false" outlineLevel="0" collapsed="false">
      <c r="I372" s="51"/>
      <c r="K372" s="2"/>
    </row>
    <row r="373" customFormat="false" ht="15" hidden="false" customHeight="false" outlineLevel="0" collapsed="false">
      <c r="I373" s="51"/>
      <c r="K373" s="2"/>
    </row>
    <row r="374" customFormat="false" ht="15" hidden="false" customHeight="false" outlineLevel="0" collapsed="false">
      <c r="I374" s="51"/>
      <c r="K374" s="2"/>
    </row>
    <row r="375" customFormat="false" ht="15" hidden="false" customHeight="false" outlineLevel="0" collapsed="false">
      <c r="I375" s="51"/>
      <c r="K375" s="2"/>
    </row>
    <row r="376" customFormat="false" ht="15" hidden="false" customHeight="false" outlineLevel="0" collapsed="false">
      <c r="I376" s="51"/>
      <c r="K376" s="2"/>
    </row>
    <row r="377" customFormat="false" ht="15" hidden="false" customHeight="false" outlineLevel="0" collapsed="false">
      <c r="I377" s="51"/>
      <c r="K377" s="2"/>
    </row>
    <row r="378" customFormat="false" ht="15" hidden="false" customHeight="false" outlineLevel="0" collapsed="false">
      <c r="I378" s="51"/>
      <c r="K378" s="2"/>
    </row>
    <row r="379" customFormat="false" ht="15" hidden="false" customHeight="false" outlineLevel="0" collapsed="false">
      <c r="I379" s="51"/>
      <c r="K379" s="2"/>
    </row>
    <row r="380" customFormat="false" ht="15" hidden="false" customHeight="false" outlineLevel="0" collapsed="false">
      <c r="I380" s="51"/>
      <c r="K380" s="2"/>
    </row>
    <row r="381" customFormat="false" ht="15" hidden="false" customHeight="false" outlineLevel="0" collapsed="false">
      <c r="I381" s="51"/>
      <c r="K381" s="2"/>
    </row>
    <row r="382" customFormat="false" ht="15" hidden="false" customHeight="false" outlineLevel="0" collapsed="false">
      <c r="I382" s="51"/>
      <c r="K382" s="2"/>
    </row>
    <row r="383" customFormat="false" ht="15" hidden="false" customHeight="false" outlineLevel="0" collapsed="false">
      <c r="I383" s="51"/>
      <c r="K383" s="2"/>
    </row>
    <row r="384" customFormat="false" ht="15" hidden="false" customHeight="false" outlineLevel="0" collapsed="false">
      <c r="I384" s="51"/>
      <c r="K384" s="2"/>
    </row>
    <row r="385" customFormat="false" ht="15" hidden="false" customHeight="false" outlineLevel="0" collapsed="false">
      <c r="I385" s="51"/>
      <c r="K385" s="2"/>
    </row>
    <row r="386" customFormat="false" ht="15" hidden="false" customHeight="false" outlineLevel="0" collapsed="false">
      <c r="I386" s="51"/>
      <c r="K386" s="2"/>
    </row>
    <row r="387" customFormat="false" ht="15" hidden="false" customHeight="false" outlineLevel="0" collapsed="false">
      <c r="I387" s="51"/>
      <c r="K387" s="2"/>
    </row>
    <row r="388" customFormat="false" ht="15" hidden="false" customHeight="false" outlineLevel="0" collapsed="false">
      <c r="I388" s="51"/>
      <c r="K388" s="2"/>
    </row>
    <row r="389" customFormat="false" ht="15" hidden="false" customHeight="false" outlineLevel="0" collapsed="false">
      <c r="I389" s="51"/>
      <c r="K389" s="2"/>
    </row>
    <row r="390" customFormat="false" ht="15" hidden="false" customHeight="false" outlineLevel="0" collapsed="false">
      <c r="I390" s="51"/>
      <c r="K390" s="2"/>
    </row>
    <row r="391" customFormat="false" ht="15" hidden="false" customHeight="false" outlineLevel="0" collapsed="false">
      <c r="I391" s="51"/>
      <c r="K391" s="2"/>
    </row>
    <row r="392" customFormat="false" ht="15" hidden="false" customHeight="false" outlineLevel="0" collapsed="false">
      <c r="I392" s="51"/>
      <c r="K392" s="2"/>
    </row>
    <row r="393" customFormat="false" ht="15" hidden="false" customHeight="false" outlineLevel="0" collapsed="false">
      <c r="I393" s="51"/>
      <c r="K393" s="2"/>
    </row>
    <row r="394" customFormat="false" ht="15" hidden="false" customHeight="false" outlineLevel="0" collapsed="false">
      <c r="I394" s="51"/>
      <c r="K394" s="2"/>
    </row>
    <row r="395" customFormat="false" ht="15" hidden="false" customHeight="false" outlineLevel="0" collapsed="false">
      <c r="I395" s="51"/>
      <c r="K395" s="2"/>
    </row>
    <row r="396" customFormat="false" ht="15" hidden="false" customHeight="false" outlineLevel="0" collapsed="false">
      <c r="I396" s="51"/>
      <c r="K396" s="2"/>
    </row>
    <row r="397" customFormat="false" ht="15" hidden="false" customHeight="false" outlineLevel="0" collapsed="false">
      <c r="I397" s="51"/>
      <c r="K397" s="2"/>
    </row>
    <row r="398" customFormat="false" ht="15" hidden="false" customHeight="false" outlineLevel="0" collapsed="false">
      <c r="I398" s="51"/>
      <c r="K398" s="2"/>
    </row>
    <row r="399" customFormat="false" ht="15" hidden="false" customHeight="false" outlineLevel="0" collapsed="false">
      <c r="I399" s="51"/>
      <c r="K399" s="2"/>
    </row>
    <row r="400" customFormat="false" ht="15" hidden="false" customHeight="false" outlineLevel="0" collapsed="false">
      <c r="I400" s="51"/>
      <c r="K400" s="2"/>
    </row>
    <row r="401" customFormat="false" ht="15" hidden="false" customHeight="false" outlineLevel="0" collapsed="false">
      <c r="I401" s="51"/>
      <c r="K401" s="2"/>
    </row>
    <row r="402" customFormat="false" ht="15" hidden="false" customHeight="false" outlineLevel="0" collapsed="false">
      <c r="I402" s="51"/>
      <c r="K402" s="2"/>
    </row>
    <row r="403" customFormat="false" ht="15" hidden="false" customHeight="false" outlineLevel="0" collapsed="false">
      <c r="I403" s="51"/>
      <c r="K403" s="2"/>
    </row>
    <row r="404" customFormat="false" ht="15" hidden="false" customHeight="false" outlineLevel="0" collapsed="false">
      <c r="I404" s="51"/>
      <c r="K404" s="2"/>
    </row>
    <row r="405" customFormat="false" ht="15" hidden="false" customHeight="false" outlineLevel="0" collapsed="false">
      <c r="I405" s="51"/>
      <c r="K405" s="2"/>
    </row>
    <row r="406" customFormat="false" ht="15" hidden="false" customHeight="false" outlineLevel="0" collapsed="false">
      <c r="I406" s="51"/>
      <c r="K406" s="2"/>
    </row>
    <row r="407" customFormat="false" ht="15" hidden="false" customHeight="false" outlineLevel="0" collapsed="false">
      <c r="I407" s="51"/>
      <c r="K407" s="2"/>
    </row>
    <row r="408" customFormat="false" ht="15" hidden="false" customHeight="false" outlineLevel="0" collapsed="false">
      <c r="I408" s="51"/>
      <c r="K408" s="2"/>
    </row>
    <row r="409" customFormat="false" ht="15" hidden="false" customHeight="false" outlineLevel="0" collapsed="false">
      <c r="I409" s="51"/>
      <c r="K409" s="2"/>
    </row>
    <row r="410" customFormat="false" ht="15" hidden="false" customHeight="false" outlineLevel="0" collapsed="false">
      <c r="I410" s="51"/>
      <c r="K410" s="2"/>
    </row>
    <row r="411" customFormat="false" ht="15" hidden="false" customHeight="false" outlineLevel="0" collapsed="false">
      <c r="I411" s="51"/>
      <c r="K411" s="2"/>
    </row>
    <row r="412" customFormat="false" ht="15" hidden="false" customHeight="false" outlineLevel="0" collapsed="false">
      <c r="I412" s="51"/>
      <c r="K412" s="2"/>
    </row>
    <row r="413" customFormat="false" ht="15" hidden="false" customHeight="false" outlineLevel="0" collapsed="false">
      <c r="I413" s="51"/>
      <c r="K413" s="2"/>
    </row>
    <row r="414" customFormat="false" ht="15" hidden="false" customHeight="false" outlineLevel="0" collapsed="false">
      <c r="I414" s="51"/>
      <c r="K414" s="2"/>
    </row>
    <row r="415" customFormat="false" ht="15" hidden="false" customHeight="false" outlineLevel="0" collapsed="false">
      <c r="I415" s="51"/>
      <c r="K415" s="2"/>
    </row>
    <row r="416" customFormat="false" ht="15" hidden="false" customHeight="false" outlineLevel="0" collapsed="false">
      <c r="I416" s="51"/>
      <c r="K416" s="2"/>
    </row>
    <row r="417" customFormat="false" ht="15" hidden="false" customHeight="false" outlineLevel="0" collapsed="false">
      <c r="I417" s="51"/>
      <c r="K417" s="2"/>
    </row>
    <row r="418" customFormat="false" ht="15" hidden="false" customHeight="false" outlineLevel="0" collapsed="false">
      <c r="I418" s="51"/>
      <c r="K418" s="2"/>
    </row>
    <row r="419" customFormat="false" ht="15" hidden="false" customHeight="false" outlineLevel="0" collapsed="false">
      <c r="I419" s="51"/>
      <c r="K419" s="2"/>
    </row>
    <row r="420" customFormat="false" ht="15" hidden="false" customHeight="false" outlineLevel="0" collapsed="false">
      <c r="I420" s="51"/>
      <c r="K420" s="2"/>
    </row>
    <row r="421" customFormat="false" ht="15" hidden="false" customHeight="false" outlineLevel="0" collapsed="false">
      <c r="I421" s="51"/>
      <c r="K421" s="2"/>
    </row>
    <row r="422" customFormat="false" ht="15" hidden="false" customHeight="false" outlineLevel="0" collapsed="false">
      <c r="I422" s="51"/>
      <c r="K422" s="2"/>
    </row>
    <row r="423" customFormat="false" ht="15" hidden="false" customHeight="false" outlineLevel="0" collapsed="false">
      <c r="I423" s="51"/>
      <c r="K423" s="2"/>
    </row>
    <row r="424" customFormat="false" ht="15" hidden="false" customHeight="false" outlineLevel="0" collapsed="false">
      <c r="I424" s="51"/>
      <c r="K424" s="2"/>
    </row>
    <row r="425" customFormat="false" ht="15" hidden="false" customHeight="false" outlineLevel="0" collapsed="false">
      <c r="I425" s="51"/>
      <c r="K425" s="2"/>
    </row>
    <row r="426" customFormat="false" ht="15" hidden="false" customHeight="false" outlineLevel="0" collapsed="false">
      <c r="I426" s="51"/>
      <c r="K426" s="2"/>
    </row>
    <row r="427" customFormat="false" ht="15" hidden="false" customHeight="false" outlineLevel="0" collapsed="false">
      <c r="I427" s="51"/>
      <c r="K427" s="2"/>
    </row>
    <row r="428" customFormat="false" ht="15" hidden="false" customHeight="false" outlineLevel="0" collapsed="false">
      <c r="I428" s="51"/>
      <c r="K428" s="2"/>
    </row>
    <row r="429" customFormat="false" ht="15" hidden="false" customHeight="false" outlineLevel="0" collapsed="false">
      <c r="I429" s="51"/>
      <c r="K429" s="2"/>
    </row>
    <row r="430" customFormat="false" ht="15" hidden="false" customHeight="false" outlineLevel="0" collapsed="false">
      <c r="I430" s="51"/>
      <c r="K430" s="2"/>
    </row>
    <row r="431" customFormat="false" ht="15" hidden="false" customHeight="false" outlineLevel="0" collapsed="false">
      <c r="I431" s="51"/>
      <c r="K431" s="2"/>
    </row>
    <row r="432" customFormat="false" ht="15" hidden="false" customHeight="false" outlineLevel="0" collapsed="false">
      <c r="I432" s="51"/>
      <c r="K432" s="2"/>
    </row>
    <row r="433" customFormat="false" ht="15" hidden="false" customHeight="false" outlineLevel="0" collapsed="false">
      <c r="I433" s="51"/>
      <c r="K433" s="2"/>
    </row>
    <row r="434" customFormat="false" ht="15" hidden="false" customHeight="false" outlineLevel="0" collapsed="false">
      <c r="I434" s="51"/>
      <c r="K434" s="2"/>
    </row>
    <row r="435" customFormat="false" ht="15" hidden="false" customHeight="false" outlineLevel="0" collapsed="false">
      <c r="I435" s="51"/>
      <c r="K435" s="2"/>
    </row>
    <row r="436" customFormat="false" ht="15" hidden="false" customHeight="false" outlineLevel="0" collapsed="false">
      <c r="I436" s="51"/>
      <c r="K436" s="2"/>
    </row>
    <row r="437" customFormat="false" ht="15" hidden="false" customHeight="false" outlineLevel="0" collapsed="false">
      <c r="I437" s="51"/>
      <c r="K437" s="2"/>
    </row>
    <row r="438" customFormat="false" ht="15" hidden="false" customHeight="false" outlineLevel="0" collapsed="false">
      <c r="I438" s="51"/>
      <c r="K438" s="2"/>
    </row>
    <row r="439" customFormat="false" ht="15" hidden="false" customHeight="false" outlineLevel="0" collapsed="false">
      <c r="I439" s="51"/>
      <c r="K439" s="2"/>
    </row>
    <row r="440" customFormat="false" ht="15" hidden="false" customHeight="false" outlineLevel="0" collapsed="false">
      <c r="I440" s="51"/>
      <c r="K440" s="2"/>
    </row>
    <row r="441" customFormat="false" ht="15" hidden="false" customHeight="false" outlineLevel="0" collapsed="false">
      <c r="I441" s="51"/>
      <c r="K441" s="2"/>
    </row>
    <row r="442" customFormat="false" ht="15" hidden="false" customHeight="false" outlineLevel="0" collapsed="false">
      <c r="I442" s="51"/>
      <c r="K442" s="2"/>
    </row>
    <row r="443" customFormat="false" ht="15" hidden="false" customHeight="false" outlineLevel="0" collapsed="false">
      <c r="I443" s="51"/>
      <c r="K443" s="2"/>
    </row>
    <row r="444" customFormat="false" ht="15" hidden="false" customHeight="false" outlineLevel="0" collapsed="false">
      <c r="I444" s="51"/>
      <c r="K444" s="2"/>
    </row>
    <row r="445" customFormat="false" ht="15" hidden="false" customHeight="false" outlineLevel="0" collapsed="false">
      <c r="I445" s="51"/>
      <c r="K445" s="2"/>
    </row>
    <row r="446" customFormat="false" ht="15" hidden="false" customHeight="false" outlineLevel="0" collapsed="false">
      <c r="I446" s="51"/>
      <c r="K446" s="2"/>
    </row>
    <row r="447" customFormat="false" ht="15" hidden="false" customHeight="false" outlineLevel="0" collapsed="false">
      <c r="I447" s="51"/>
      <c r="K447" s="2"/>
    </row>
    <row r="448" customFormat="false" ht="15" hidden="false" customHeight="false" outlineLevel="0" collapsed="false">
      <c r="I448" s="51"/>
      <c r="K448" s="2"/>
    </row>
    <row r="449" customFormat="false" ht="15" hidden="false" customHeight="false" outlineLevel="0" collapsed="false">
      <c r="I449" s="51"/>
      <c r="K449" s="2"/>
    </row>
    <row r="450" customFormat="false" ht="15" hidden="false" customHeight="false" outlineLevel="0" collapsed="false">
      <c r="I450" s="51"/>
      <c r="K450" s="2"/>
    </row>
    <row r="451" customFormat="false" ht="15" hidden="false" customHeight="false" outlineLevel="0" collapsed="false">
      <c r="I451" s="51"/>
      <c r="K451" s="2"/>
    </row>
    <row r="452" customFormat="false" ht="15" hidden="false" customHeight="false" outlineLevel="0" collapsed="false">
      <c r="I452" s="51"/>
      <c r="K452" s="2"/>
    </row>
    <row r="453" customFormat="false" ht="15" hidden="false" customHeight="false" outlineLevel="0" collapsed="false">
      <c r="I453" s="51"/>
      <c r="K453" s="2"/>
    </row>
    <row r="454" customFormat="false" ht="15" hidden="false" customHeight="false" outlineLevel="0" collapsed="false">
      <c r="I454" s="51"/>
      <c r="K454" s="2"/>
    </row>
    <row r="455" customFormat="false" ht="15" hidden="false" customHeight="false" outlineLevel="0" collapsed="false">
      <c r="I455" s="51"/>
      <c r="K455" s="2"/>
    </row>
    <row r="456" customFormat="false" ht="15" hidden="false" customHeight="false" outlineLevel="0" collapsed="false">
      <c r="I456" s="51"/>
      <c r="K456" s="2"/>
    </row>
    <row r="457" customFormat="false" ht="15" hidden="false" customHeight="false" outlineLevel="0" collapsed="false">
      <c r="I457" s="51"/>
      <c r="K457" s="2"/>
    </row>
    <row r="458" customFormat="false" ht="15" hidden="false" customHeight="false" outlineLevel="0" collapsed="false">
      <c r="I458" s="51"/>
      <c r="K458" s="2"/>
    </row>
    <row r="459" customFormat="false" ht="15" hidden="false" customHeight="false" outlineLevel="0" collapsed="false">
      <c r="I459" s="51"/>
      <c r="K459" s="2"/>
    </row>
    <row r="460" customFormat="false" ht="15" hidden="false" customHeight="false" outlineLevel="0" collapsed="false">
      <c r="I460" s="51"/>
      <c r="K460" s="2"/>
    </row>
    <row r="461" customFormat="false" ht="15" hidden="false" customHeight="false" outlineLevel="0" collapsed="false">
      <c r="I461" s="51"/>
      <c r="K461" s="2"/>
    </row>
    <row r="462" customFormat="false" ht="15" hidden="false" customHeight="false" outlineLevel="0" collapsed="false">
      <c r="I462" s="51"/>
      <c r="K462" s="2"/>
    </row>
    <row r="463" customFormat="false" ht="15" hidden="false" customHeight="false" outlineLevel="0" collapsed="false">
      <c r="I463" s="51"/>
      <c r="K463" s="2"/>
    </row>
    <row r="464" customFormat="false" ht="15" hidden="false" customHeight="false" outlineLevel="0" collapsed="false">
      <c r="I464" s="51"/>
      <c r="K464" s="2"/>
    </row>
    <row r="465" customFormat="false" ht="15" hidden="false" customHeight="false" outlineLevel="0" collapsed="false">
      <c r="I465" s="51"/>
      <c r="K465" s="2"/>
    </row>
    <row r="466" customFormat="false" ht="15" hidden="false" customHeight="false" outlineLevel="0" collapsed="false">
      <c r="I466" s="51"/>
      <c r="K466" s="2"/>
    </row>
    <row r="467" customFormat="false" ht="15" hidden="false" customHeight="false" outlineLevel="0" collapsed="false">
      <c r="I467" s="51"/>
      <c r="K467" s="2"/>
    </row>
    <row r="468" customFormat="false" ht="15" hidden="false" customHeight="false" outlineLevel="0" collapsed="false">
      <c r="I468" s="51"/>
      <c r="K468" s="2"/>
    </row>
    <row r="469" customFormat="false" ht="15" hidden="false" customHeight="false" outlineLevel="0" collapsed="false">
      <c r="I469" s="51"/>
      <c r="K469" s="2"/>
    </row>
    <row r="470" customFormat="false" ht="15" hidden="false" customHeight="false" outlineLevel="0" collapsed="false">
      <c r="I470" s="51"/>
      <c r="K470" s="2"/>
    </row>
    <row r="471" customFormat="false" ht="15" hidden="false" customHeight="false" outlineLevel="0" collapsed="false">
      <c r="I471" s="51"/>
      <c r="K471" s="2"/>
    </row>
    <row r="472" customFormat="false" ht="15" hidden="false" customHeight="false" outlineLevel="0" collapsed="false">
      <c r="I472" s="51"/>
      <c r="K472" s="2"/>
    </row>
    <row r="473" customFormat="false" ht="15" hidden="false" customHeight="false" outlineLevel="0" collapsed="false">
      <c r="I473" s="51"/>
      <c r="K473" s="2"/>
    </row>
    <row r="474" customFormat="false" ht="15" hidden="false" customHeight="false" outlineLevel="0" collapsed="false">
      <c r="I474" s="51"/>
      <c r="K474" s="2"/>
    </row>
    <row r="475" customFormat="false" ht="15" hidden="false" customHeight="false" outlineLevel="0" collapsed="false">
      <c r="I475" s="51"/>
      <c r="K475" s="2"/>
    </row>
    <row r="476" customFormat="false" ht="15" hidden="false" customHeight="false" outlineLevel="0" collapsed="false">
      <c r="I476" s="51"/>
      <c r="K476" s="2"/>
    </row>
    <row r="477" customFormat="false" ht="15" hidden="false" customHeight="false" outlineLevel="0" collapsed="false">
      <c r="I477" s="51"/>
      <c r="K477" s="2"/>
    </row>
    <row r="478" customFormat="false" ht="15" hidden="false" customHeight="false" outlineLevel="0" collapsed="false">
      <c r="I478" s="51"/>
      <c r="K478" s="2"/>
    </row>
    <row r="479" customFormat="false" ht="15" hidden="false" customHeight="false" outlineLevel="0" collapsed="false">
      <c r="I479" s="51"/>
      <c r="K479" s="2"/>
    </row>
    <row r="480" customFormat="false" ht="15" hidden="false" customHeight="false" outlineLevel="0" collapsed="false">
      <c r="I480" s="51"/>
      <c r="K480" s="2"/>
    </row>
    <row r="481" customFormat="false" ht="15" hidden="false" customHeight="false" outlineLevel="0" collapsed="false">
      <c r="I481" s="51"/>
      <c r="K481" s="2"/>
    </row>
    <row r="482" customFormat="false" ht="15" hidden="false" customHeight="false" outlineLevel="0" collapsed="false">
      <c r="I482" s="51"/>
      <c r="K482" s="2"/>
    </row>
    <row r="483" customFormat="false" ht="15" hidden="false" customHeight="false" outlineLevel="0" collapsed="false">
      <c r="I483" s="51"/>
      <c r="K483" s="2"/>
    </row>
    <row r="484" customFormat="false" ht="15" hidden="false" customHeight="false" outlineLevel="0" collapsed="false">
      <c r="I484" s="51"/>
      <c r="K484" s="2"/>
    </row>
    <row r="485" customFormat="false" ht="15" hidden="false" customHeight="false" outlineLevel="0" collapsed="false">
      <c r="I485" s="51"/>
      <c r="K485" s="2"/>
    </row>
    <row r="486" customFormat="false" ht="15" hidden="false" customHeight="false" outlineLevel="0" collapsed="false">
      <c r="I486" s="51"/>
      <c r="K486" s="2"/>
    </row>
    <row r="487" customFormat="false" ht="15" hidden="false" customHeight="false" outlineLevel="0" collapsed="false">
      <c r="I487" s="51"/>
      <c r="K487" s="2"/>
    </row>
    <row r="488" customFormat="false" ht="15" hidden="false" customHeight="false" outlineLevel="0" collapsed="false">
      <c r="I488" s="51"/>
      <c r="K488" s="2"/>
    </row>
    <row r="489" customFormat="false" ht="15" hidden="false" customHeight="false" outlineLevel="0" collapsed="false">
      <c r="I489" s="51"/>
      <c r="K489" s="2"/>
    </row>
    <row r="490" customFormat="false" ht="15" hidden="false" customHeight="false" outlineLevel="0" collapsed="false">
      <c r="I490" s="51"/>
      <c r="K490" s="2"/>
    </row>
    <row r="491" customFormat="false" ht="15" hidden="false" customHeight="false" outlineLevel="0" collapsed="false">
      <c r="I491" s="51"/>
      <c r="K491" s="2"/>
    </row>
    <row r="492" customFormat="false" ht="15" hidden="false" customHeight="false" outlineLevel="0" collapsed="false">
      <c r="I492" s="51"/>
      <c r="K492" s="2"/>
    </row>
    <row r="493" customFormat="false" ht="15" hidden="false" customHeight="false" outlineLevel="0" collapsed="false">
      <c r="I493" s="51"/>
      <c r="K493" s="2"/>
    </row>
    <row r="494" customFormat="false" ht="15" hidden="false" customHeight="false" outlineLevel="0" collapsed="false">
      <c r="I494" s="51"/>
      <c r="K494" s="2"/>
    </row>
    <row r="495" customFormat="false" ht="15" hidden="false" customHeight="false" outlineLevel="0" collapsed="false">
      <c r="I495" s="51"/>
      <c r="K495" s="2"/>
    </row>
    <row r="496" customFormat="false" ht="15" hidden="false" customHeight="false" outlineLevel="0" collapsed="false">
      <c r="I496" s="51"/>
      <c r="K496" s="2"/>
    </row>
    <row r="497" customFormat="false" ht="15" hidden="false" customHeight="false" outlineLevel="0" collapsed="false">
      <c r="I497" s="51"/>
      <c r="K497" s="2"/>
    </row>
    <row r="498" customFormat="false" ht="15" hidden="false" customHeight="false" outlineLevel="0" collapsed="false">
      <c r="I498" s="51"/>
      <c r="K498" s="2"/>
    </row>
    <row r="499" customFormat="false" ht="15" hidden="false" customHeight="false" outlineLevel="0" collapsed="false">
      <c r="I499" s="51"/>
      <c r="K499" s="2"/>
    </row>
    <row r="500" customFormat="false" ht="15" hidden="false" customHeight="false" outlineLevel="0" collapsed="false">
      <c r="I500" s="51"/>
      <c r="K500" s="2"/>
    </row>
    <row r="501" customFormat="false" ht="15" hidden="false" customHeight="false" outlineLevel="0" collapsed="false">
      <c r="I501" s="51"/>
      <c r="K501" s="2"/>
    </row>
    <row r="502" customFormat="false" ht="15" hidden="false" customHeight="false" outlineLevel="0" collapsed="false">
      <c r="I502" s="51"/>
      <c r="K502" s="2"/>
    </row>
    <row r="503" customFormat="false" ht="15" hidden="false" customHeight="false" outlineLevel="0" collapsed="false">
      <c r="I503" s="51"/>
      <c r="K503" s="2"/>
    </row>
    <row r="504" customFormat="false" ht="15" hidden="false" customHeight="false" outlineLevel="0" collapsed="false">
      <c r="I504" s="51"/>
      <c r="K504" s="2"/>
    </row>
    <row r="505" customFormat="false" ht="15" hidden="false" customHeight="false" outlineLevel="0" collapsed="false">
      <c r="I505" s="51"/>
      <c r="K505" s="2"/>
    </row>
    <row r="506" customFormat="false" ht="15" hidden="false" customHeight="false" outlineLevel="0" collapsed="false">
      <c r="I506" s="51"/>
      <c r="K506" s="2"/>
    </row>
    <row r="507" customFormat="false" ht="15" hidden="false" customHeight="false" outlineLevel="0" collapsed="false">
      <c r="I507" s="51"/>
      <c r="K507" s="2"/>
    </row>
    <row r="508" customFormat="false" ht="15" hidden="false" customHeight="false" outlineLevel="0" collapsed="false">
      <c r="I508" s="51"/>
      <c r="K508" s="2"/>
    </row>
    <row r="509" customFormat="false" ht="15" hidden="false" customHeight="false" outlineLevel="0" collapsed="false">
      <c r="I509" s="51"/>
      <c r="K509" s="2"/>
    </row>
    <row r="510" customFormat="false" ht="15" hidden="false" customHeight="false" outlineLevel="0" collapsed="false">
      <c r="I510" s="51"/>
      <c r="K510" s="2"/>
    </row>
    <row r="511" customFormat="false" ht="15" hidden="false" customHeight="false" outlineLevel="0" collapsed="false">
      <c r="I511" s="51"/>
      <c r="K511" s="2"/>
    </row>
    <row r="512" customFormat="false" ht="15" hidden="false" customHeight="false" outlineLevel="0" collapsed="false">
      <c r="I512" s="51"/>
      <c r="K512" s="2"/>
    </row>
    <row r="513" customFormat="false" ht="15" hidden="false" customHeight="false" outlineLevel="0" collapsed="false">
      <c r="I513" s="51"/>
      <c r="K513" s="2"/>
    </row>
    <row r="514" customFormat="false" ht="15" hidden="false" customHeight="false" outlineLevel="0" collapsed="false">
      <c r="I514" s="51"/>
      <c r="K514" s="2"/>
    </row>
    <row r="515" customFormat="false" ht="15" hidden="false" customHeight="false" outlineLevel="0" collapsed="false">
      <c r="I515" s="51"/>
      <c r="K515" s="2"/>
    </row>
    <row r="516" customFormat="false" ht="15" hidden="false" customHeight="false" outlineLevel="0" collapsed="false">
      <c r="I516" s="51"/>
      <c r="K516" s="2"/>
    </row>
    <row r="517" customFormat="false" ht="15" hidden="false" customHeight="false" outlineLevel="0" collapsed="false">
      <c r="I517" s="51"/>
      <c r="K517" s="2"/>
    </row>
    <row r="518" customFormat="false" ht="15" hidden="false" customHeight="false" outlineLevel="0" collapsed="false">
      <c r="I518" s="51"/>
      <c r="K518" s="2"/>
    </row>
    <row r="519" customFormat="false" ht="15" hidden="false" customHeight="false" outlineLevel="0" collapsed="false">
      <c r="I519" s="51"/>
      <c r="K519" s="2"/>
    </row>
    <row r="520" customFormat="false" ht="15" hidden="false" customHeight="false" outlineLevel="0" collapsed="false">
      <c r="I520" s="51"/>
      <c r="K520" s="2"/>
    </row>
    <row r="521" customFormat="false" ht="15" hidden="false" customHeight="false" outlineLevel="0" collapsed="false">
      <c r="I521" s="51"/>
      <c r="K521" s="2"/>
    </row>
    <row r="522" customFormat="false" ht="15" hidden="false" customHeight="false" outlineLevel="0" collapsed="false">
      <c r="I522" s="51"/>
      <c r="K522" s="2"/>
    </row>
    <row r="523" customFormat="false" ht="15" hidden="false" customHeight="false" outlineLevel="0" collapsed="false">
      <c r="I523" s="51"/>
      <c r="K523" s="2"/>
    </row>
    <row r="524" customFormat="false" ht="15" hidden="false" customHeight="false" outlineLevel="0" collapsed="false">
      <c r="I524" s="51"/>
      <c r="K524" s="2"/>
    </row>
    <row r="525" customFormat="false" ht="15" hidden="false" customHeight="false" outlineLevel="0" collapsed="false">
      <c r="I525" s="51"/>
      <c r="K525" s="2"/>
    </row>
    <row r="526" customFormat="false" ht="15" hidden="false" customHeight="false" outlineLevel="0" collapsed="false">
      <c r="I526" s="51"/>
      <c r="K526" s="2"/>
    </row>
    <row r="527" customFormat="false" ht="15" hidden="false" customHeight="false" outlineLevel="0" collapsed="false">
      <c r="I527" s="51"/>
      <c r="K527" s="2"/>
    </row>
    <row r="528" customFormat="false" ht="15" hidden="false" customHeight="false" outlineLevel="0" collapsed="false">
      <c r="I528" s="51"/>
      <c r="K528" s="2"/>
    </row>
    <row r="529" customFormat="false" ht="15" hidden="false" customHeight="false" outlineLevel="0" collapsed="false">
      <c r="I529" s="51"/>
      <c r="K529" s="2"/>
    </row>
    <row r="530" customFormat="false" ht="15" hidden="false" customHeight="false" outlineLevel="0" collapsed="false">
      <c r="I530" s="51"/>
      <c r="K530" s="2"/>
    </row>
    <row r="531" customFormat="false" ht="15" hidden="false" customHeight="false" outlineLevel="0" collapsed="false">
      <c r="I531" s="51"/>
      <c r="K531" s="2"/>
    </row>
    <row r="532" customFormat="false" ht="15" hidden="false" customHeight="false" outlineLevel="0" collapsed="false">
      <c r="I532" s="51"/>
      <c r="K532" s="2"/>
    </row>
    <row r="533" customFormat="false" ht="15" hidden="false" customHeight="false" outlineLevel="0" collapsed="false">
      <c r="I533" s="51"/>
      <c r="K533" s="2"/>
    </row>
    <row r="534" customFormat="false" ht="15" hidden="false" customHeight="false" outlineLevel="0" collapsed="false">
      <c r="I534" s="51"/>
      <c r="K534" s="2"/>
    </row>
    <row r="535" customFormat="false" ht="15" hidden="false" customHeight="false" outlineLevel="0" collapsed="false">
      <c r="I535" s="51"/>
      <c r="K535" s="2"/>
    </row>
    <row r="536" customFormat="false" ht="15" hidden="false" customHeight="false" outlineLevel="0" collapsed="false">
      <c r="I536" s="51"/>
      <c r="K536" s="2"/>
    </row>
    <row r="537" customFormat="false" ht="15" hidden="false" customHeight="false" outlineLevel="0" collapsed="false">
      <c r="I537" s="51"/>
      <c r="K537" s="2"/>
    </row>
    <row r="538" customFormat="false" ht="15" hidden="false" customHeight="false" outlineLevel="0" collapsed="false">
      <c r="I538" s="51"/>
      <c r="K538" s="2"/>
    </row>
    <row r="539" customFormat="false" ht="15" hidden="false" customHeight="false" outlineLevel="0" collapsed="false">
      <c r="I539" s="51"/>
      <c r="K539" s="2"/>
    </row>
    <row r="540" customFormat="false" ht="15" hidden="false" customHeight="false" outlineLevel="0" collapsed="false">
      <c r="I540" s="51"/>
      <c r="K540" s="2"/>
    </row>
    <row r="541" customFormat="false" ht="15" hidden="false" customHeight="false" outlineLevel="0" collapsed="false">
      <c r="I541" s="51"/>
      <c r="K541" s="2"/>
    </row>
    <row r="542" customFormat="false" ht="15" hidden="false" customHeight="false" outlineLevel="0" collapsed="false">
      <c r="I542" s="51"/>
      <c r="K542" s="2"/>
    </row>
    <row r="543" customFormat="false" ht="15" hidden="false" customHeight="false" outlineLevel="0" collapsed="false">
      <c r="I543" s="51"/>
      <c r="K543" s="2"/>
    </row>
    <row r="544" customFormat="false" ht="15" hidden="false" customHeight="false" outlineLevel="0" collapsed="false">
      <c r="I544" s="51"/>
      <c r="K544" s="2"/>
    </row>
    <row r="545" customFormat="false" ht="15" hidden="false" customHeight="false" outlineLevel="0" collapsed="false">
      <c r="I545" s="51"/>
      <c r="K545" s="2"/>
    </row>
    <row r="546" customFormat="false" ht="15" hidden="false" customHeight="false" outlineLevel="0" collapsed="false">
      <c r="I546" s="51"/>
      <c r="K546" s="2"/>
    </row>
    <row r="547" customFormat="false" ht="15" hidden="false" customHeight="false" outlineLevel="0" collapsed="false">
      <c r="I547" s="51"/>
      <c r="K547" s="2"/>
    </row>
    <row r="548" customFormat="false" ht="15" hidden="false" customHeight="false" outlineLevel="0" collapsed="false">
      <c r="I548" s="51"/>
      <c r="K548" s="2"/>
    </row>
    <row r="549" customFormat="false" ht="15" hidden="false" customHeight="false" outlineLevel="0" collapsed="false">
      <c r="I549" s="51"/>
      <c r="K549" s="2"/>
    </row>
    <row r="550" customFormat="false" ht="15" hidden="false" customHeight="false" outlineLevel="0" collapsed="false">
      <c r="I550" s="51"/>
      <c r="K550" s="2"/>
    </row>
    <row r="551" customFormat="false" ht="15" hidden="false" customHeight="false" outlineLevel="0" collapsed="false">
      <c r="I551" s="51"/>
      <c r="K551" s="2"/>
    </row>
    <row r="552" customFormat="false" ht="15" hidden="false" customHeight="false" outlineLevel="0" collapsed="false">
      <c r="I552" s="51"/>
      <c r="K552" s="2"/>
    </row>
    <row r="553" customFormat="false" ht="15" hidden="false" customHeight="false" outlineLevel="0" collapsed="false">
      <c r="I553" s="51"/>
      <c r="K553" s="2"/>
    </row>
    <row r="554" customFormat="false" ht="15" hidden="false" customHeight="false" outlineLevel="0" collapsed="false">
      <c r="I554" s="51"/>
      <c r="K554" s="2"/>
    </row>
    <row r="555" customFormat="false" ht="15" hidden="false" customHeight="false" outlineLevel="0" collapsed="false">
      <c r="I555" s="51"/>
      <c r="K555" s="2"/>
    </row>
    <row r="556" customFormat="false" ht="15" hidden="false" customHeight="false" outlineLevel="0" collapsed="false">
      <c r="I556" s="51"/>
      <c r="K556" s="2"/>
    </row>
    <row r="557" customFormat="false" ht="15" hidden="false" customHeight="false" outlineLevel="0" collapsed="false">
      <c r="I557" s="51"/>
      <c r="K557" s="2"/>
    </row>
    <row r="558" customFormat="false" ht="15" hidden="false" customHeight="false" outlineLevel="0" collapsed="false">
      <c r="I558" s="51"/>
      <c r="K558" s="2"/>
    </row>
    <row r="559" customFormat="false" ht="15" hidden="false" customHeight="false" outlineLevel="0" collapsed="false">
      <c r="I559" s="51"/>
      <c r="K559" s="2"/>
    </row>
    <row r="560" customFormat="false" ht="15" hidden="false" customHeight="false" outlineLevel="0" collapsed="false">
      <c r="I560" s="51"/>
      <c r="K560" s="2"/>
    </row>
    <row r="561" customFormat="false" ht="15" hidden="false" customHeight="false" outlineLevel="0" collapsed="false">
      <c r="I561" s="51"/>
      <c r="K561" s="2"/>
    </row>
    <row r="562" customFormat="false" ht="15" hidden="false" customHeight="false" outlineLevel="0" collapsed="false">
      <c r="I562" s="51"/>
      <c r="K562" s="2"/>
    </row>
    <row r="563" customFormat="false" ht="15" hidden="false" customHeight="false" outlineLevel="0" collapsed="false">
      <c r="I563" s="51"/>
      <c r="K563" s="2"/>
    </row>
    <row r="564" customFormat="false" ht="15" hidden="false" customHeight="false" outlineLevel="0" collapsed="false">
      <c r="I564" s="51"/>
      <c r="K564" s="2"/>
    </row>
    <row r="565" customFormat="false" ht="15" hidden="false" customHeight="false" outlineLevel="0" collapsed="false">
      <c r="I565" s="51"/>
      <c r="K565" s="2"/>
    </row>
    <row r="566" customFormat="false" ht="15" hidden="false" customHeight="false" outlineLevel="0" collapsed="false">
      <c r="I566" s="51"/>
      <c r="K566" s="2"/>
    </row>
    <row r="567" customFormat="false" ht="15" hidden="false" customHeight="false" outlineLevel="0" collapsed="false">
      <c r="I567" s="51"/>
      <c r="K567" s="2"/>
    </row>
    <row r="568" customFormat="false" ht="15" hidden="false" customHeight="false" outlineLevel="0" collapsed="false">
      <c r="I568" s="51"/>
      <c r="K568" s="2"/>
    </row>
    <row r="569" customFormat="false" ht="15" hidden="false" customHeight="false" outlineLevel="0" collapsed="false">
      <c r="I569" s="51"/>
      <c r="K569" s="2"/>
    </row>
    <row r="570" customFormat="false" ht="15" hidden="false" customHeight="false" outlineLevel="0" collapsed="false">
      <c r="I570" s="51"/>
      <c r="K570" s="2"/>
    </row>
    <row r="571" customFormat="false" ht="15" hidden="false" customHeight="false" outlineLevel="0" collapsed="false">
      <c r="I571" s="51"/>
      <c r="K571" s="2"/>
    </row>
    <row r="572" customFormat="false" ht="15" hidden="false" customHeight="false" outlineLevel="0" collapsed="false">
      <c r="I572" s="51"/>
      <c r="K572" s="2"/>
    </row>
    <row r="573" customFormat="false" ht="15" hidden="false" customHeight="false" outlineLevel="0" collapsed="false">
      <c r="I573" s="51"/>
      <c r="K573" s="2"/>
    </row>
    <row r="574" customFormat="false" ht="15" hidden="false" customHeight="false" outlineLevel="0" collapsed="false">
      <c r="I574" s="51"/>
      <c r="K574" s="2"/>
    </row>
    <row r="575" customFormat="false" ht="15" hidden="false" customHeight="false" outlineLevel="0" collapsed="false">
      <c r="I575" s="51"/>
      <c r="K575" s="2"/>
    </row>
    <row r="576" customFormat="false" ht="15" hidden="false" customHeight="false" outlineLevel="0" collapsed="false">
      <c r="I576" s="51"/>
      <c r="K576" s="2"/>
    </row>
    <row r="577" customFormat="false" ht="15" hidden="false" customHeight="false" outlineLevel="0" collapsed="false">
      <c r="I577" s="51"/>
      <c r="K577" s="2"/>
    </row>
    <row r="578" customFormat="false" ht="15" hidden="false" customHeight="false" outlineLevel="0" collapsed="false">
      <c r="I578" s="51"/>
      <c r="K578" s="2"/>
    </row>
    <row r="579" customFormat="false" ht="15" hidden="false" customHeight="false" outlineLevel="0" collapsed="false">
      <c r="I579" s="51"/>
      <c r="K579" s="2"/>
    </row>
    <row r="580" customFormat="false" ht="15" hidden="false" customHeight="false" outlineLevel="0" collapsed="false">
      <c r="I580" s="51"/>
      <c r="K580" s="2"/>
    </row>
    <row r="581" customFormat="false" ht="15" hidden="false" customHeight="false" outlineLevel="0" collapsed="false">
      <c r="I581" s="51"/>
      <c r="K581" s="2"/>
    </row>
    <row r="582" customFormat="false" ht="15" hidden="false" customHeight="false" outlineLevel="0" collapsed="false">
      <c r="I582" s="51"/>
      <c r="K582" s="2"/>
    </row>
    <row r="583" customFormat="false" ht="15" hidden="false" customHeight="false" outlineLevel="0" collapsed="false">
      <c r="I583" s="51"/>
      <c r="K583" s="2"/>
    </row>
    <row r="584" customFormat="false" ht="15" hidden="false" customHeight="false" outlineLevel="0" collapsed="false">
      <c r="I584" s="51"/>
      <c r="K584" s="2"/>
    </row>
    <row r="585" customFormat="false" ht="15" hidden="false" customHeight="false" outlineLevel="0" collapsed="false">
      <c r="I585" s="51"/>
      <c r="K585" s="2"/>
    </row>
    <row r="586" customFormat="false" ht="15" hidden="false" customHeight="false" outlineLevel="0" collapsed="false">
      <c r="I586" s="51"/>
      <c r="K586" s="2"/>
    </row>
    <row r="587" customFormat="false" ht="15" hidden="false" customHeight="false" outlineLevel="0" collapsed="false">
      <c r="I587" s="51"/>
      <c r="K587" s="2"/>
    </row>
    <row r="588" customFormat="false" ht="15" hidden="false" customHeight="false" outlineLevel="0" collapsed="false">
      <c r="I588" s="51"/>
      <c r="K588" s="2"/>
    </row>
    <row r="589" customFormat="false" ht="15" hidden="false" customHeight="false" outlineLevel="0" collapsed="false">
      <c r="I589" s="51"/>
      <c r="K589" s="2"/>
    </row>
    <row r="590" customFormat="false" ht="15" hidden="false" customHeight="false" outlineLevel="0" collapsed="false">
      <c r="I590" s="51"/>
      <c r="K590" s="2"/>
    </row>
    <row r="591" customFormat="false" ht="15" hidden="false" customHeight="false" outlineLevel="0" collapsed="false">
      <c r="I591" s="51"/>
      <c r="K591" s="2"/>
    </row>
    <row r="592" customFormat="false" ht="15" hidden="false" customHeight="false" outlineLevel="0" collapsed="false">
      <c r="I592" s="51"/>
      <c r="K592" s="2"/>
    </row>
    <row r="593" customFormat="false" ht="15" hidden="false" customHeight="false" outlineLevel="0" collapsed="false">
      <c r="I593" s="51"/>
      <c r="K593" s="2"/>
    </row>
    <row r="594" customFormat="false" ht="15" hidden="false" customHeight="false" outlineLevel="0" collapsed="false">
      <c r="I594" s="51"/>
      <c r="K594" s="2"/>
    </row>
    <row r="595" customFormat="false" ht="15" hidden="false" customHeight="false" outlineLevel="0" collapsed="false">
      <c r="I595" s="51"/>
      <c r="K595" s="2"/>
    </row>
    <row r="596" customFormat="false" ht="15" hidden="false" customHeight="false" outlineLevel="0" collapsed="false">
      <c r="I596" s="51"/>
      <c r="K596" s="2"/>
    </row>
    <row r="597" customFormat="false" ht="15" hidden="false" customHeight="false" outlineLevel="0" collapsed="false">
      <c r="I597" s="51"/>
      <c r="K597" s="2"/>
    </row>
    <row r="598" customFormat="false" ht="15" hidden="false" customHeight="false" outlineLevel="0" collapsed="false">
      <c r="I598" s="51"/>
      <c r="K598" s="2"/>
    </row>
    <row r="599" customFormat="false" ht="15" hidden="false" customHeight="false" outlineLevel="0" collapsed="false">
      <c r="I599" s="51"/>
      <c r="K599" s="2"/>
    </row>
    <row r="600" customFormat="false" ht="15" hidden="false" customHeight="false" outlineLevel="0" collapsed="false">
      <c r="I600" s="51"/>
      <c r="K600" s="2"/>
    </row>
    <row r="601" customFormat="false" ht="15" hidden="false" customHeight="false" outlineLevel="0" collapsed="false">
      <c r="I601" s="51"/>
      <c r="K601" s="2"/>
    </row>
    <row r="602" customFormat="false" ht="15" hidden="false" customHeight="false" outlineLevel="0" collapsed="false">
      <c r="I602" s="51"/>
      <c r="K602" s="2"/>
    </row>
    <row r="603" customFormat="false" ht="15" hidden="false" customHeight="false" outlineLevel="0" collapsed="false">
      <c r="I603" s="51"/>
      <c r="K603" s="2"/>
    </row>
    <row r="604" customFormat="false" ht="15" hidden="false" customHeight="false" outlineLevel="0" collapsed="false">
      <c r="I604" s="51"/>
      <c r="K604" s="2"/>
    </row>
    <row r="605" customFormat="false" ht="15" hidden="false" customHeight="false" outlineLevel="0" collapsed="false">
      <c r="I605" s="51"/>
      <c r="K605" s="2"/>
    </row>
    <row r="606" customFormat="false" ht="15" hidden="false" customHeight="false" outlineLevel="0" collapsed="false">
      <c r="I606" s="51"/>
      <c r="K606" s="2"/>
    </row>
    <row r="607" customFormat="false" ht="15" hidden="false" customHeight="false" outlineLevel="0" collapsed="false">
      <c r="I607" s="51"/>
      <c r="K607" s="2"/>
    </row>
    <row r="608" customFormat="false" ht="15" hidden="false" customHeight="false" outlineLevel="0" collapsed="false">
      <c r="I608" s="51"/>
      <c r="K608" s="2"/>
    </row>
    <row r="609" customFormat="false" ht="15" hidden="false" customHeight="false" outlineLevel="0" collapsed="false">
      <c r="I609" s="51"/>
      <c r="K609" s="2"/>
    </row>
    <row r="610" customFormat="false" ht="15" hidden="false" customHeight="false" outlineLevel="0" collapsed="false">
      <c r="I610" s="51"/>
      <c r="K610" s="2"/>
    </row>
    <row r="611" customFormat="false" ht="15" hidden="false" customHeight="false" outlineLevel="0" collapsed="false">
      <c r="I611" s="51"/>
      <c r="K611" s="2"/>
    </row>
    <row r="612" customFormat="false" ht="15" hidden="false" customHeight="false" outlineLevel="0" collapsed="false">
      <c r="I612" s="51"/>
      <c r="K612" s="2"/>
    </row>
    <row r="613" customFormat="false" ht="15" hidden="false" customHeight="false" outlineLevel="0" collapsed="false">
      <c r="I613" s="51"/>
      <c r="K613" s="2"/>
    </row>
    <row r="614" customFormat="false" ht="15" hidden="false" customHeight="false" outlineLevel="0" collapsed="false">
      <c r="I614" s="51"/>
      <c r="K614" s="2"/>
    </row>
    <row r="615" customFormat="false" ht="15" hidden="false" customHeight="false" outlineLevel="0" collapsed="false">
      <c r="I615" s="51"/>
      <c r="K615" s="2"/>
    </row>
    <row r="616" customFormat="false" ht="15" hidden="false" customHeight="false" outlineLevel="0" collapsed="false">
      <c r="I616" s="51"/>
      <c r="K616" s="2"/>
    </row>
    <row r="617" customFormat="false" ht="15" hidden="false" customHeight="false" outlineLevel="0" collapsed="false">
      <c r="I617" s="51"/>
      <c r="K617" s="2"/>
    </row>
    <row r="618" customFormat="false" ht="15" hidden="false" customHeight="false" outlineLevel="0" collapsed="false">
      <c r="I618" s="51"/>
      <c r="K618" s="2"/>
    </row>
    <row r="619" customFormat="false" ht="15" hidden="false" customHeight="false" outlineLevel="0" collapsed="false">
      <c r="I619" s="51"/>
      <c r="K619" s="2"/>
    </row>
    <row r="620" customFormat="false" ht="15" hidden="false" customHeight="false" outlineLevel="0" collapsed="false">
      <c r="I620" s="51"/>
      <c r="K620" s="2"/>
    </row>
    <row r="621" customFormat="false" ht="15" hidden="false" customHeight="false" outlineLevel="0" collapsed="false">
      <c r="I621" s="51"/>
      <c r="K621" s="2"/>
    </row>
    <row r="622" customFormat="false" ht="15" hidden="false" customHeight="false" outlineLevel="0" collapsed="false">
      <c r="I622" s="51"/>
      <c r="K622" s="2"/>
    </row>
    <row r="623" customFormat="false" ht="15" hidden="false" customHeight="false" outlineLevel="0" collapsed="false">
      <c r="I623" s="51"/>
      <c r="K623" s="2"/>
    </row>
    <row r="624" customFormat="false" ht="15" hidden="false" customHeight="false" outlineLevel="0" collapsed="false">
      <c r="I624" s="51"/>
      <c r="K624" s="2"/>
    </row>
    <row r="625" customFormat="false" ht="15" hidden="false" customHeight="false" outlineLevel="0" collapsed="false">
      <c r="I625" s="51"/>
      <c r="K625" s="2"/>
    </row>
    <row r="626" customFormat="false" ht="15" hidden="false" customHeight="false" outlineLevel="0" collapsed="false">
      <c r="I626" s="51"/>
      <c r="K626" s="2"/>
    </row>
    <row r="627" customFormat="false" ht="15" hidden="false" customHeight="false" outlineLevel="0" collapsed="false">
      <c r="I627" s="51"/>
      <c r="K627" s="2"/>
    </row>
    <row r="628" customFormat="false" ht="15" hidden="false" customHeight="false" outlineLevel="0" collapsed="false">
      <c r="I628" s="51"/>
      <c r="K628" s="2"/>
    </row>
    <row r="629" customFormat="false" ht="15" hidden="false" customHeight="false" outlineLevel="0" collapsed="false">
      <c r="I629" s="51"/>
      <c r="K629" s="2"/>
    </row>
    <row r="630" customFormat="false" ht="15" hidden="false" customHeight="false" outlineLevel="0" collapsed="false">
      <c r="I630" s="51"/>
      <c r="K630" s="2"/>
    </row>
    <row r="631" customFormat="false" ht="15" hidden="false" customHeight="false" outlineLevel="0" collapsed="false">
      <c r="I631" s="51"/>
      <c r="K631" s="2"/>
    </row>
    <row r="632" customFormat="false" ht="15" hidden="false" customHeight="false" outlineLevel="0" collapsed="false">
      <c r="I632" s="51"/>
      <c r="K632" s="2"/>
    </row>
    <row r="633" customFormat="false" ht="15" hidden="false" customHeight="false" outlineLevel="0" collapsed="false">
      <c r="I633" s="51"/>
      <c r="K633" s="2"/>
    </row>
    <row r="634" customFormat="false" ht="15" hidden="false" customHeight="false" outlineLevel="0" collapsed="false">
      <c r="I634" s="51"/>
      <c r="K634" s="2"/>
    </row>
    <row r="635" customFormat="false" ht="15" hidden="false" customHeight="false" outlineLevel="0" collapsed="false">
      <c r="I635" s="51"/>
      <c r="K635" s="2"/>
    </row>
    <row r="636" customFormat="false" ht="15" hidden="false" customHeight="false" outlineLevel="0" collapsed="false">
      <c r="I636" s="51"/>
      <c r="K636" s="2"/>
    </row>
    <row r="637" customFormat="false" ht="15" hidden="false" customHeight="false" outlineLevel="0" collapsed="false">
      <c r="I637" s="51"/>
      <c r="K637" s="2"/>
    </row>
    <row r="638" customFormat="false" ht="15" hidden="false" customHeight="false" outlineLevel="0" collapsed="false">
      <c r="I638" s="51"/>
      <c r="K638" s="2"/>
    </row>
    <row r="639" customFormat="false" ht="15" hidden="false" customHeight="false" outlineLevel="0" collapsed="false">
      <c r="I639" s="51"/>
      <c r="K639" s="2"/>
    </row>
    <row r="640" customFormat="false" ht="15" hidden="false" customHeight="false" outlineLevel="0" collapsed="false">
      <c r="I640" s="51"/>
      <c r="K640" s="2"/>
    </row>
    <row r="641" customFormat="false" ht="15" hidden="false" customHeight="false" outlineLevel="0" collapsed="false">
      <c r="I641" s="51"/>
      <c r="K641" s="2"/>
    </row>
    <row r="642" customFormat="false" ht="15" hidden="false" customHeight="false" outlineLevel="0" collapsed="false">
      <c r="I642" s="51"/>
      <c r="K642" s="2"/>
    </row>
    <row r="643" customFormat="false" ht="15" hidden="false" customHeight="false" outlineLevel="0" collapsed="false">
      <c r="I643" s="51"/>
      <c r="K643" s="2"/>
    </row>
    <row r="644" customFormat="false" ht="15" hidden="false" customHeight="false" outlineLevel="0" collapsed="false">
      <c r="I644" s="51"/>
      <c r="K644" s="2"/>
    </row>
    <row r="645" customFormat="false" ht="15" hidden="false" customHeight="false" outlineLevel="0" collapsed="false">
      <c r="I645" s="51"/>
      <c r="K645" s="2"/>
    </row>
    <row r="646" customFormat="false" ht="15" hidden="false" customHeight="false" outlineLevel="0" collapsed="false">
      <c r="I646" s="51"/>
      <c r="K646" s="2"/>
    </row>
    <row r="647" customFormat="false" ht="15" hidden="false" customHeight="false" outlineLevel="0" collapsed="false">
      <c r="I647" s="51"/>
      <c r="K647" s="2"/>
    </row>
    <row r="648" customFormat="false" ht="15" hidden="false" customHeight="false" outlineLevel="0" collapsed="false">
      <c r="I648" s="51"/>
      <c r="K648" s="2"/>
    </row>
    <row r="649" customFormat="false" ht="15" hidden="false" customHeight="false" outlineLevel="0" collapsed="false">
      <c r="I649" s="51"/>
      <c r="K649" s="2"/>
    </row>
    <row r="650" customFormat="false" ht="15" hidden="false" customHeight="false" outlineLevel="0" collapsed="false">
      <c r="I650" s="51"/>
      <c r="K650" s="2"/>
    </row>
    <row r="651" customFormat="false" ht="15" hidden="false" customHeight="false" outlineLevel="0" collapsed="false">
      <c r="I651" s="51"/>
      <c r="K651" s="2"/>
    </row>
    <row r="652" customFormat="false" ht="15" hidden="false" customHeight="false" outlineLevel="0" collapsed="false">
      <c r="I652" s="51"/>
      <c r="K652" s="2"/>
    </row>
    <row r="653" customFormat="false" ht="15" hidden="false" customHeight="false" outlineLevel="0" collapsed="false">
      <c r="I653" s="51"/>
      <c r="K653" s="2"/>
    </row>
    <row r="654" customFormat="false" ht="15" hidden="false" customHeight="false" outlineLevel="0" collapsed="false">
      <c r="I654" s="51"/>
      <c r="K654" s="2"/>
    </row>
    <row r="655" customFormat="false" ht="15" hidden="false" customHeight="false" outlineLevel="0" collapsed="false">
      <c r="I655" s="51"/>
      <c r="K655" s="2"/>
    </row>
    <row r="656" customFormat="false" ht="15" hidden="false" customHeight="false" outlineLevel="0" collapsed="false">
      <c r="I656" s="51"/>
      <c r="K656" s="2"/>
    </row>
    <row r="657" customFormat="false" ht="15" hidden="false" customHeight="false" outlineLevel="0" collapsed="false">
      <c r="I657" s="51"/>
      <c r="K657" s="2"/>
    </row>
    <row r="658" customFormat="false" ht="15" hidden="false" customHeight="false" outlineLevel="0" collapsed="false">
      <c r="I658" s="51"/>
      <c r="K658" s="2"/>
    </row>
    <row r="659" customFormat="false" ht="15" hidden="false" customHeight="false" outlineLevel="0" collapsed="false">
      <c r="I659" s="51"/>
      <c r="K659" s="2"/>
    </row>
    <row r="660" customFormat="false" ht="15" hidden="false" customHeight="false" outlineLevel="0" collapsed="false">
      <c r="I660" s="51"/>
      <c r="K660" s="2"/>
    </row>
    <row r="661" customFormat="false" ht="15" hidden="false" customHeight="false" outlineLevel="0" collapsed="false">
      <c r="I661" s="51"/>
      <c r="K661" s="2"/>
    </row>
    <row r="662" customFormat="false" ht="15" hidden="false" customHeight="false" outlineLevel="0" collapsed="false">
      <c r="I662" s="51"/>
      <c r="K662" s="2"/>
    </row>
    <row r="663" customFormat="false" ht="15" hidden="false" customHeight="false" outlineLevel="0" collapsed="false">
      <c r="I663" s="51"/>
      <c r="K663" s="2"/>
    </row>
    <row r="664" customFormat="false" ht="15" hidden="false" customHeight="false" outlineLevel="0" collapsed="false">
      <c r="I664" s="51"/>
      <c r="K664" s="2"/>
    </row>
    <row r="665" customFormat="false" ht="15" hidden="false" customHeight="false" outlineLevel="0" collapsed="false">
      <c r="I665" s="51"/>
      <c r="K665" s="2"/>
    </row>
    <row r="666" customFormat="false" ht="15" hidden="false" customHeight="false" outlineLevel="0" collapsed="false">
      <c r="I666" s="51"/>
      <c r="K666" s="2"/>
    </row>
    <row r="667" customFormat="false" ht="15" hidden="false" customHeight="false" outlineLevel="0" collapsed="false">
      <c r="I667" s="51"/>
      <c r="K667" s="2"/>
    </row>
    <row r="668" customFormat="false" ht="15" hidden="false" customHeight="false" outlineLevel="0" collapsed="false">
      <c r="I668" s="51"/>
      <c r="K668" s="2"/>
    </row>
    <row r="669" customFormat="false" ht="15" hidden="false" customHeight="false" outlineLevel="0" collapsed="false">
      <c r="I669" s="51"/>
      <c r="K669" s="2"/>
    </row>
    <row r="670" customFormat="false" ht="15" hidden="false" customHeight="false" outlineLevel="0" collapsed="false">
      <c r="I670" s="51"/>
      <c r="K670" s="2"/>
    </row>
    <row r="671" customFormat="false" ht="15" hidden="false" customHeight="false" outlineLevel="0" collapsed="false">
      <c r="I671" s="51"/>
      <c r="K671" s="2"/>
    </row>
    <row r="672" customFormat="false" ht="15" hidden="false" customHeight="false" outlineLevel="0" collapsed="false">
      <c r="I672" s="51"/>
      <c r="K672" s="2"/>
    </row>
    <row r="673" customFormat="false" ht="15" hidden="false" customHeight="false" outlineLevel="0" collapsed="false">
      <c r="I673" s="51"/>
      <c r="K673" s="2"/>
    </row>
    <row r="674" customFormat="false" ht="15" hidden="false" customHeight="false" outlineLevel="0" collapsed="false">
      <c r="I674" s="51"/>
      <c r="K674" s="2"/>
    </row>
    <row r="675" customFormat="false" ht="15" hidden="false" customHeight="false" outlineLevel="0" collapsed="false">
      <c r="I675" s="51"/>
      <c r="K675" s="2"/>
    </row>
    <row r="676" customFormat="false" ht="15" hidden="false" customHeight="false" outlineLevel="0" collapsed="false">
      <c r="I676" s="51"/>
      <c r="K676" s="2"/>
    </row>
    <row r="677" customFormat="false" ht="15" hidden="false" customHeight="false" outlineLevel="0" collapsed="false">
      <c r="I677" s="51"/>
      <c r="K677" s="2"/>
    </row>
    <row r="678" customFormat="false" ht="15" hidden="false" customHeight="false" outlineLevel="0" collapsed="false">
      <c r="I678" s="51"/>
      <c r="K678" s="2"/>
    </row>
    <row r="679" customFormat="false" ht="15" hidden="false" customHeight="false" outlineLevel="0" collapsed="false">
      <c r="I679" s="51"/>
      <c r="K679" s="2"/>
    </row>
    <row r="680" customFormat="false" ht="15" hidden="false" customHeight="false" outlineLevel="0" collapsed="false">
      <c r="I680" s="51"/>
      <c r="K680" s="2"/>
    </row>
    <row r="681" customFormat="false" ht="15" hidden="false" customHeight="false" outlineLevel="0" collapsed="false">
      <c r="I681" s="51"/>
      <c r="K681" s="2"/>
    </row>
    <row r="682" customFormat="false" ht="15" hidden="false" customHeight="false" outlineLevel="0" collapsed="false">
      <c r="I682" s="51"/>
      <c r="K682" s="2"/>
    </row>
    <row r="683" customFormat="false" ht="15" hidden="false" customHeight="false" outlineLevel="0" collapsed="false">
      <c r="I683" s="51"/>
      <c r="K683" s="2"/>
    </row>
    <row r="684" customFormat="false" ht="15" hidden="false" customHeight="false" outlineLevel="0" collapsed="false">
      <c r="I684" s="51"/>
      <c r="K684" s="2"/>
    </row>
    <row r="685" customFormat="false" ht="15" hidden="false" customHeight="false" outlineLevel="0" collapsed="false">
      <c r="I685" s="51"/>
      <c r="K685" s="2"/>
    </row>
    <row r="686" customFormat="false" ht="15" hidden="false" customHeight="false" outlineLevel="0" collapsed="false">
      <c r="I686" s="51"/>
      <c r="K686" s="2"/>
    </row>
    <row r="687" customFormat="false" ht="15" hidden="false" customHeight="false" outlineLevel="0" collapsed="false">
      <c r="I687" s="51"/>
      <c r="K687" s="2"/>
    </row>
    <row r="688" customFormat="false" ht="15" hidden="false" customHeight="false" outlineLevel="0" collapsed="false">
      <c r="I688" s="51"/>
      <c r="K688" s="2"/>
    </row>
    <row r="689" customFormat="false" ht="15" hidden="false" customHeight="false" outlineLevel="0" collapsed="false">
      <c r="I689" s="51"/>
      <c r="K689" s="2"/>
    </row>
    <row r="690" customFormat="false" ht="15" hidden="false" customHeight="false" outlineLevel="0" collapsed="false">
      <c r="I690" s="51"/>
      <c r="K690" s="2"/>
    </row>
    <row r="691" customFormat="false" ht="15" hidden="false" customHeight="false" outlineLevel="0" collapsed="false">
      <c r="I691" s="51"/>
      <c r="K691" s="2"/>
    </row>
    <row r="692" customFormat="false" ht="15" hidden="false" customHeight="false" outlineLevel="0" collapsed="false">
      <c r="I692" s="51"/>
      <c r="K692" s="2"/>
    </row>
    <row r="693" customFormat="false" ht="15" hidden="false" customHeight="false" outlineLevel="0" collapsed="false">
      <c r="I693" s="51"/>
      <c r="K693" s="2"/>
    </row>
    <row r="694" customFormat="false" ht="15" hidden="false" customHeight="false" outlineLevel="0" collapsed="false">
      <c r="I694" s="51"/>
      <c r="K694" s="2"/>
    </row>
    <row r="695" customFormat="false" ht="15" hidden="false" customHeight="false" outlineLevel="0" collapsed="false">
      <c r="I695" s="51"/>
      <c r="K695" s="2"/>
    </row>
    <row r="696" customFormat="false" ht="15" hidden="false" customHeight="false" outlineLevel="0" collapsed="false">
      <c r="I696" s="51"/>
      <c r="K696" s="2"/>
    </row>
    <row r="697" customFormat="false" ht="15" hidden="false" customHeight="false" outlineLevel="0" collapsed="false">
      <c r="I697" s="51"/>
      <c r="K697" s="2"/>
    </row>
    <row r="698" customFormat="false" ht="15" hidden="false" customHeight="false" outlineLevel="0" collapsed="false">
      <c r="I698" s="51"/>
      <c r="K698" s="2"/>
    </row>
    <row r="699" customFormat="false" ht="15" hidden="false" customHeight="false" outlineLevel="0" collapsed="false">
      <c r="I699" s="51"/>
      <c r="K699" s="2"/>
    </row>
    <row r="700" customFormat="false" ht="15" hidden="false" customHeight="false" outlineLevel="0" collapsed="false">
      <c r="I700" s="51"/>
      <c r="K700" s="2"/>
    </row>
    <row r="701" customFormat="false" ht="15" hidden="false" customHeight="false" outlineLevel="0" collapsed="false">
      <c r="I701" s="51"/>
      <c r="K701" s="2"/>
    </row>
    <row r="702" customFormat="false" ht="15" hidden="false" customHeight="false" outlineLevel="0" collapsed="false">
      <c r="I702" s="51"/>
      <c r="K702" s="2"/>
    </row>
    <row r="703" customFormat="false" ht="15" hidden="false" customHeight="false" outlineLevel="0" collapsed="false">
      <c r="I703" s="51"/>
      <c r="K703" s="2"/>
    </row>
    <row r="704" customFormat="false" ht="15" hidden="false" customHeight="false" outlineLevel="0" collapsed="false">
      <c r="I704" s="51"/>
      <c r="K704" s="2"/>
    </row>
    <row r="705" customFormat="false" ht="15" hidden="false" customHeight="false" outlineLevel="0" collapsed="false">
      <c r="I705" s="51"/>
      <c r="K705" s="2"/>
    </row>
    <row r="706" customFormat="false" ht="15" hidden="false" customHeight="false" outlineLevel="0" collapsed="false">
      <c r="I706" s="51"/>
      <c r="K706" s="2"/>
    </row>
    <row r="707" customFormat="false" ht="15" hidden="false" customHeight="false" outlineLevel="0" collapsed="false">
      <c r="I707" s="51"/>
      <c r="K707" s="2"/>
    </row>
    <row r="708" customFormat="false" ht="15" hidden="false" customHeight="false" outlineLevel="0" collapsed="false">
      <c r="I708" s="51"/>
      <c r="K708" s="2"/>
    </row>
    <row r="709" customFormat="false" ht="15" hidden="false" customHeight="false" outlineLevel="0" collapsed="false">
      <c r="I709" s="51"/>
      <c r="K709" s="2"/>
    </row>
    <row r="710" customFormat="false" ht="15" hidden="false" customHeight="false" outlineLevel="0" collapsed="false">
      <c r="I710" s="51"/>
      <c r="K710" s="2"/>
    </row>
    <row r="711" customFormat="false" ht="15" hidden="false" customHeight="false" outlineLevel="0" collapsed="false">
      <c r="I711" s="51"/>
      <c r="K711" s="2"/>
    </row>
    <row r="712" customFormat="false" ht="15" hidden="false" customHeight="false" outlineLevel="0" collapsed="false">
      <c r="I712" s="51"/>
      <c r="K712" s="2"/>
    </row>
    <row r="713" customFormat="false" ht="15" hidden="false" customHeight="false" outlineLevel="0" collapsed="false">
      <c r="I713" s="51"/>
      <c r="K713" s="2"/>
    </row>
    <row r="714" customFormat="false" ht="15" hidden="false" customHeight="false" outlineLevel="0" collapsed="false">
      <c r="I714" s="51"/>
      <c r="K714" s="2"/>
    </row>
    <row r="715" customFormat="false" ht="15" hidden="false" customHeight="false" outlineLevel="0" collapsed="false">
      <c r="I715" s="51"/>
      <c r="K715" s="2"/>
    </row>
    <row r="716" customFormat="false" ht="15" hidden="false" customHeight="false" outlineLevel="0" collapsed="false">
      <c r="I716" s="51"/>
      <c r="K716" s="2"/>
    </row>
    <row r="717" customFormat="false" ht="15" hidden="false" customHeight="false" outlineLevel="0" collapsed="false">
      <c r="I717" s="51"/>
      <c r="K717" s="2"/>
    </row>
    <row r="718" customFormat="false" ht="15" hidden="false" customHeight="false" outlineLevel="0" collapsed="false">
      <c r="I718" s="51"/>
      <c r="K718" s="2"/>
    </row>
    <row r="719" customFormat="false" ht="15" hidden="false" customHeight="false" outlineLevel="0" collapsed="false">
      <c r="I719" s="51"/>
      <c r="K719" s="2"/>
    </row>
    <row r="720" customFormat="false" ht="15" hidden="false" customHeight="false" outlineLevel="0" collapsed="false">
      <c r="I720" s="51"/>
      <c r="K720" s="2"/>
    </row>
    <row r="721" customFormat="false" ht="15" hidden="false" customHeight="false" outlineLevel="0" collapsed="false">
      <c r="I721" s="51"/>
      <c r="K721" s="2"/>
    </row>
    <row r="722" customFormat="false" ht="15" hidden="false" customHeight="false" outlineLevel="0" collapsed="false">
      <c r="I722" s="51"/>
      <c r="K722" s="2"/>
    </row>
    <row r="723" customFormat="false" ht="15" hidden="false" customHeight="false" outlineLevel="0" collapsed="false">
      <c r="I723" s="51"/>
      <c r="K723" s="2"/>
    </row>
    <row r="724" customFormat="false" ht="15" hidden="false" customHeight="false" outlineLevel="0" collapsed="false">
      <c r="I724" s="51"/>
      <c r="K724" s="2"/>
    </row>
    <row r="725" customFormat="false" ht="15" hidden="false" customHeight="false" outlineLevel="0" collapsed="false">
      <c r="I725" s="51"/>
      <c r="K725" s="2"/>
    </row>
    <row r="726" customFormat="false" ht="15" hidden="false" customHeight="false" outlineLevel="0" collapsed="false">
      <c r="I726" s="51"/>
      <c r="K726" s="2"/>
    </row>
    <row r="727" customFormat="false" ht="15" hidden="false" customHeight="false" outlineLevel="0" collapsed="false">
      <c r="I727" s="51"/>
      <c r="K727" s="2"/>
    </row>
    <row r="728" customFormat="false" ht="15" hidden="false" customHeight="false" outlineLevel="0" collapsed="false">
      <c r="I728" s="51"/>
      <c r="K728" s="2"/>
    </row>
    <row r="729" customFormat="false" ht="15" hidden="false" customHeight="false" outlineLevel="0" collapsed="false">
      <c r="I729" s="51"/>
      <c r="K729" s="2"/>
    </row>
    <row r="730" customFormat="false" ht="15" hidden="false" customHeight="false" outlineLevel="0" collapsed="false">
      <c r="I730" s="51"/>
      <c r="K730" s="2"/>
    </row>
    <row r="731" customFormat="false" ht="15" hidden="false" customHeight="false" outlineLevel="0" collapsed="false">
      <c r="I731" s="51"/>
      <c r="K731" s="2"/>
    </row>
    <row r="732" customFormat="false" ht="15" hidden="false" customHeight="false" outlineLevel="0" collapsed="false">
      <c r="I732" s="51"/>
      <c r="K732" s="2"/>
    </row>
    <row r="733" customFormat="false" ht="15" hidden="false" customHeight="false" outlineLevel="0" collapsed="false">
      <c r="I733" s="51"/>
      <c r="K733" s="2"/>
    </row>
    <row r="734" customFormat="false" ht="15" hidden="false" customHeight="false" outlineLevel="0" collapsed="false">
      <c r="I734" s="51"/>
      <c r="K734" s="2"/>
    </row>
    <row r="735" customFormat="false" ht="15" hidden="false" customHeight="false" outlineLevel="0" collapsed="false">
      <c r="I735" s="51"/>
      <c r="K735" s="2"/>
    </row>
    <row r="736" customFormat="false" ht="15" hidden="false" customHeight="false" outlineLevel="0" collapsed="false">
      <c r="I736" s="51"/>
      <c r="K736" s="2"/>
    </row>
    <row r="737" customFormat="false" ht="15" hidden="false" customHeight="false" outlineLevel="0" collapsed="false">
      <c r="I737" s="51"/>
      <c r="K737" s="2"/>
    </row>
    <row r="738" customFormat="false" ht="15" hidden="false" customHeight="false" outlineLevel="0" collapsed="false">
      <c r="I738" s="51"/>
      <c r="K738" s="2"/>
    </row>
    <row r="739" customFormat="false" ht="15" hidden="false" customHeight="false" outlineLevel="0" collapsed="false">
      <c r="I739" s="51"/>
      <c r="K739" s="2"/>
    </row>
    <row r="740" customFormat="false" ht="15" hidden="false" customHeight="false" outlineLevel="0" collapsed="false">
      <c r="I740" s="51"/>
      <c r="K740" s="2"/>
    </row>
    <row r="741" customFormat="false" ht="15" hidden="false" customHeight="false" outlineLevel="0" collapsed="false">
      <c r="I741" s="51"/>
      <c r="K741" s="2"/>
    </row>
    <row r="742" customFormat="false" ht="15" hidden="false" customHeight="false" outlineLevel="0" collapsed="false">
      <c r="I742" s="51"/>
      <c r="K742" s="2"/>
    </row>
    <row r="743" customFormat="false" ht="15" hidden="false" customHeight="false" outlineLevel="0" collapsed="false">
      <c r="I743" s="51"/>
      <c r="K743" s="2"/>
    </row>
    <row r="744" customFormat="false" ht="15" hidden="false" customHeight="false" outlineLevel="0" collapsed="false">
      <c r="I744" s="51"/>
      <c r="K744" s="2"/>
    </row>
    <row r="745" customFormat="false" ht="15" hidden="false" customHeight="false" outlineLevel="0" collapsed="false">
      <c r="I745" s="51"/>
      <c r="K745" s="2"/>
    </row>
    <row r="746" customFormat="false" ht="15" hidden="false" customHeight="false" outlineLevel="0" collapsed="false">
      <c r="I746" s="51"/>
      <c r="K746" s="2"/>
    </row>
    <row r="747" customFormat="false" ht="15" hidden="false" customHeight="false" outlineLevel="0" collapsed="false">
      <c r="I747" s="51"/>
      <c r="K747" s="2"/>
    </row>
    <row r="748" customFormat="false" ht="15" hidden="false" customHeight="false" outlineLevel="0" collapsed="false">
      <c r="I748" s="51"/>
      <c r="K748" s="2"/>
    </row>
    <row r="749" customFormat="false" ht="15" hidden="false" customHeight="false" outlineLevel="0" collapsed="false">
      <c r="I749" s="51"/>
      <c r="K749" s="2"/>
    </row>
    <row r="750" customFormat="false" ht="15" hidden="false" customHeight="false" outlineLevel="0" collapsed="false">
      <c r="I750" s="51"/>
      <c r="K750" s="2"/>
    </row>
    <row r="751" customFormat="false" ht="15" hidden="false" customHeight="false" outlineLevel="0" collapsed="false">
      <c r="I751" s="51"/>
      <c r="K751" s="2"/>
    </row>
    <row r="752" customFormat="false" ht="15" hidden="false" customHeight="false" outlineLevel="0" collapsed="false">
      <c r="I752" s="51"/>
      <c r="K752" s="2"/>
    </row>
    <row r="753" customFormat="false" ht="15" hidden="false" customHeight="false" outlineLevel="0" collapsed="false">
      <c r="I753" s="51"/>
      <c r="K753" s="2"/>
    </row>
    <row r="754" customFormat="false" ht="15" hidden="false" customHeight="false" outlineLevel="0" collapsed="false">
      <c r="I754" s="51"/>
      <c r="K754" s="2"/>
    </row>
    <row r="755" customFormat="false" ht="15" hidden="false" customHeight="false" outlineLevel="0" collapsed="false">
      <c r="I755" s="51"/>
      <c r="K755" s="2"/>
    </row>
    <row r="756" customFormat="false" ht="15" hidden="false" customHeight="false" outlineLevel="0" collapsed="false">
      <c r="I756" s="51"/>
      <c r="K756" s="2"/>
    </row>
    <row r="757" customFormat="false" ht="15" hidden="false" customHeight="false" outlineLevel="0" collapsed="false">
      <c r="I757" s="51"/>
      <c r="K757" s="2"/>
    </row>
    <row r="758" customFormat="false" ht="15" hidden="false" customHeight="false" outlineLevel="0" collapsed="false">
      <c r="I758" s="51"/>
      <c r="K758" s="2"/>
    </row>
    <row r="759" customFormat="false" ht="15" hidden="false" customHeight="false" outlineLevel="0" collapsed="false">
      <c r="I759" s="51"/>
      <c r="K759" s="2"/>
    </row>
    <row r="760" customFormat="false" ht="15" hidden="false" customHeight="false" outlineLevel="0" collapsed="false">
      <c r="I760" s="51"/>
      <c r="K760" s="2"/>
    </row>
    <row r="761" customFormat="false" ht="15" hidden="false" customHeight="false" outlineLevel="0" collapsed="false">
      <c r="I761" s="51"/>
      <c r="K761" s="2"/>
    </row>
    <row r="762" customFormat="false" ht="15" hidden="false" customHeight="false" outlineLevel="0" collapsed="false">
      <c r="I762" s="51"/>
      <c r="K762" s="2"/>
    </row>
    <row r="763" customFormat="false" ht="15" hidden="false" customHeight="false" outlineLevel="0" collapsed="false">
      <c r="I763" s="51"/>
      <c r="K763" s="2"/>
    </row>
    <row r="764" customFormat="false" ht="15" hidden="false" customHeight="false" outlineLevel="0" collapsed="false">
      <c r="I764" s="51"/>
      <c r="K764" s="2"/>
    </row>
    <row r="765" customFormat="false" ht="15" hidden="false" customHeight="false" outlineLevel="0" collapsed="false">
      <c r="I765" s="51"/>
      <c r="K765" s="2"/>
    </row>
    <row r="766" customFormat="false" ht="15" hidden="false" customHeight="false" outlineLevel="0" collapsed="false">
      <c r="I766" s="51"/>
      <c r="K766" s="2"/>
    </row>
    <row r="767" customFormat="false" ht="15" hidden="false" customHeight="false" outlineLevel="0" collapsed="false">
      <c r="I767" s="51"/>
      <c r="K767" s="2"/>
    </row>
    <row r="768" customFormat="false" ht="15" hidden="false" customHeight="false" outlineLevel="0" collapsed="false">
      <c r="I768" s="51"/>
      <c r="K768" s="2"/>
    </row>
    <row r="769" customFormat="false" ht="15" hidden="false" customHeight="false" outlineLevel="0" collapsed="false">
      <c r="I769" s="51"/>
      <c r="K769" s="2"/>
    </row>
    <row r="770" customFormat="false" ht="15" hidden="false" customHeight="false" outlineLevel="0" collapsed="false">
      <c r="I770" s="51"/>
      <c r="K770" s="2"/>
    </row>
    <row r="771" customFormat="false" ht="15" hidden="false" customHeight="false" outlineLevel="0" collapsed="false">
      <c r="I771" s="51"/>
      <c r="K771" s="2"/>
    </row>
    <row r="772" customFormat="false" ht="15" hidden="false" customHeight="false" outlineLevel="0" collapsed="false">
      <c r="I772" s="51"/>
      <c r="K772" s="2"/>
    </row>
    <row r="773" customFormat="false" ht="15" hidden="false" customHeight="false" outlineLevel="0" collapsed="false">
      <c r="I773" s="51"/>
      <c r="K773" s="2"/>
    </row>
    <row r="774" customFormat="false" ht="15" hidden="false" customHeight="false" outlineLevel="0" collapsed="false">
      <c r="I774" s="51"/>
      <c r="K774" s="2"/>
    </row>
    <row r="775" customFormat="false" ht="15" hidden="false" customHeight="false" outlineLevel="0" collapsed="false">
      <c r="I775" s="51"/>
      <c r="K775" s="2"/>
    </row>
    <row r="776" customFormat="false" ht="15" hidden="false" customHeight="false" outlineLevel="0" collapsed="false">
      <c r="I776" s="51"/>
      <c r="K776" s="2"/>
    </row>
    <row r="777" customFormat="false" ht="15" hidden="false" customHeight="false" outlineLevel="0" collapsed="false">
      <c r="I777" s="51"/>
      <c r="K777" s="2"/>
    </row>
    <row r="778" customFormat="false" ht="15" hidden="false" customHeight="false" outlineLevel="0" collapsed="false">
      <c r="I778" s="51"/>
      <c r="K778" s="2"/>
    </row>
    <row r="779" customFormat="false" ht="15" hidden="false" customHeight="false" outlineLevel="0" collapsed="false">
      <c r="I779" s="51"/>
      <c r="K779" s="2"/>
    </row>
    <row r="780" customFormat="false" ht="15" hidden="false" customHeight="false" outlineLevel="0" collapsed="false">
      <c r="I780" s="51"/>
      <c r="K780" s="2"/>
    </row>
    <row r="781" customFormat="false" ht="15" hidden="false" customHeight="false" outlineLevel="0" collapsed="false">
      <c r="I781" s="51"/>
      <c r="K781" s="2"/>
    </row>
    <row r="782" customFormat="false" ht="15" hidden="false" customHeight="false" outlineLevel="0" collapsed="false">
      <c r="I782" s="51"/>
      <c r="K782" s="2"/>
    </row>
    <row r="783" customFormat="false" ht="15" hidden="false" customHeight="false" outlineLevel="0" collapsed="false">
      <c r="I783" s="51"/>
      <c r="K783" s="2"/>
    </row>
    <row r="784" customFormat="false" ht="15" hidden="false" customHeight="false" outlineLevel="0" collapsed="false">
      <c r="I784" s="51"/>
      <c r="K784" s="2"/>
    </row>
    <row r="785" customFormat="false" ht="15" hidden="false" customHeight="false" outlineLevel="0" collapsed="false">
      <c r="I785" s="51"/>
      <c r="K785" s="2"/>
    </row>
    <row r="786" customFormat="false" ht="15" hidden="false" customHeight="false" outlineLevel="0" collapsed="false">
      <c r="I786" s="51"/>
      <c r="K786" s="2"/>
    </row>
    <row r="787" customFormat="false" ht="15" hidden="false" customHeight="false" outlineLevel="0" collapsed="false">
      <c r="I787" s="51"/>
      <c r="K787" s="2"/>
    </row>
    <row r="788" customFormat="false" ht="15" hidden="false" customHeight="false" outlineLevel="0" collapsed="false">
      <c r="I788" s="51"/>
      <c r="K788" s="2"/>
    </row>
    <row r="789" customFormat="false" ht="15" hidden="false" customHeight="false" outlineLevel="0" collapsed="false">
      <c r="I789" s="51"/>
      <c r="K789" s="2"/>
    </row>
    <row r="790" customFormat="false" ht="15" hidden="false" customHeight="false" outlineLevel="0" collapsed="false">
      <c r="I790" s="51"/>
      <c r="K790" s="2"/>
    </row>
    <row r="791" customFormat="false" ht="15" hidden="false" customHeight="false" outlineLevel="0" collapsed="false">
      <c r="I791" s="51"/>
      <c r="K791" s="2"/>
    </row>
    <row r="792" customFormat="false" ht="15" hidden="false" customHeight="false" outlineLevel="0" collapsed="false">
      <c r="I792" s="51"/>
      <c r="K792" s="2"/>
    </row>
    <row r="793" customFormat="false" ht="15" hidden="false" customHeight="false" outlineLevel="0" collapsed="false">
      <c r="I793" s="51"/>
      <c r="K793" s="2"/>
    </row>
    <row r="794" customFormat="false" ht="15" hidden="false" customHeight="false" outlineLevel="0" collapsed="false">
      <c r="I794" s="51"/>
      <c r="K794" s="2"/>
    </row>
    <row r="795" customFormat="false" ht="15" hidden="false" customHeight="false" outlineLevel="0" collapsed="false">
      <c r="I795" s="51"/>
      <c r="K795" s="2"/>
    </row>
    <row r="796" customFormat="false" ht="15" hidden="false" customHeight="false" outlineLevel="0" collapsed="false">
      <c r="I796" s="51"/>
      <c r="K796" s="2"/>
    </row>
    <row r="797" customFormat="false" ht="15" hidden="false" customHeight="false" outlineLevel="0" collapsed="false">
      <c r="I797" s="51"/>
      <c r="K797" s="2"/>
    </row>
    <row r="798" customFormat="false" ht="15" hidden="false" customHeight="false" outlineLevel="0" collapsed="false">
      <c r="I798" s="51"/>
      <c r="K798" s="2"/>
    </row>
    <row r="799" customFormat="false" ht="15" hidden="false" customHeight="false" outlineLevel="0" collapsed="false">
      <c r="I799" s="51"/>
      <c r="K799" s="2"/>
    </row>
    <row r="800" customFormat="false" ht="15" hidden="false" customHeight="false" outlineLevel="0" collapsed="false">
      <c r="I800" s="51"/>
      <c r="K800" s="2"/>
    </row>
    <row r="801" customFormat="false" ht="15" hidden="false" customHeight="false" outlineLevel="0" collapsed="false">
      <c r="I801" s="51"/>
      <c r="K801" s="2"/>
    </row>
    <row r="802" customFormat="false" ht="15" hidden="false" customHeight="false" outlineLevel="0" collapsed="false">
      <c r="I802" s="51"/>
      <c r="K802" s="2"/>
    </row>
    <row r="803" customFormat="false" ht="15" hidden="false" customHeight="false" outlineLevel="0" collapsed="false">
      <c r="I803" s="51"/>
      <c r="K803" s="2"/>
    </row>
    <row r="804" customFormat="false" ht="15" hidden="false" customHeight="false" outlineLevel="0" collapsed="false">
      <c r="I804" s="51"/>
      <c r="K804" s="2"/>
    </row>
    <row r="805" customFormat="false" ht="15" hidden="false" customHeight="false" outlineLevel="0" collapsed="false">
      <c r="I805" s="51"/>
      <c r="K805" s="2"/>
    </row>
    <row r="806" customFormat="false" ht="15" hidden="false" customHeight="false" outlineLevel="0" collapsed="false">
      <c r="I806" s="51"/>
      <c r="K806" s="2"/>
    </row>
    <row r="807" customFormat="false" ht="15" hidden="false" customHeight="false" outlineLevel="0" collapsed="false">
      <c r="I807" s="51"/>
      <c r="K807" s="2"/>
    </row>
    <row r="808" customFormat="false" ht="15" hidden="false" customHeight="false" outlineLevel="0" collapsed="false">
      <c r="I808" s="51"/>
      <c r="K808" s="2"/>
    </row>
    <row r="809" customFormat="false" ht="15" hidden="false" customHeight="false" outlineLevel="0" collapsed="false">
      <c r="I809" s="51"/>
      <c r="K809" s="2"/>
    </row>
    <row r="810" customFormat="false" ht="15" hidden="false" customHeight="false" outlineLevel="0" collapsed="false">
      <c r="I810" s="51"/>
      <c r="K810" s="2"/>
    </row>
    <row r="811" customFormat="false" ht="15" hidden="false" customHeight="false" outlineLevel="0" collapsed="false">
      <c r="I811" s="51"/>
      <c r="K811" s="2"/>
    </row>
    <row r="812" customFormat="false" ht="15" hidden="false" customHeight="false" outlineLevel="0" collapsed="false">
      <c r="I812" s="51"/>
      <c r="K812" s="2"/>
    </row>
    <row r="813" customFormat="false" ht="15" hidden="false" customHeight="false" outlineLevel="0" collapsed="false">
      <c r="I813" s="51"/>
      <c r="K813" s="2"/>
    </row>
    <row r="814" customFormat="false" ht="15" hidden="false" customHeight="false" outlineLevel="0" collapsed="false">
      <c r="I814" s="51"/>
      <c r="K814" s="2"/>
    </row>
    <row r="815" customFormat="false" ht="15" hidden="false" customHeight="false" outlineLevel="0" collapsed="false">
      <c r="I815" s="51"/>
      <c r="K815" s="2"/>
    </row>
    <row r="816" customFormat="false" ht="15" hidden="false" customHeight="false" outlineLevel="0" collapsed="false">
      <c r="I816" s="51"/>
      <c r="K816" s="2"/>
    </row>
    <row r="817" customFormat="false" ht="15" hidden="false" customHeight="false" outlineLevel="0" collapsed="false">
      <c r="I817" s="51"/>
      <c r="K817" s="2"/>
    </row>
    <row r="818" customFormat="false" ht="15" hidden="false" customHeight="false" outlineLevel="0" collapsed="false">
      <c r="I818" s="51"/>
      <c r="K818" s="2"/>
    </row>
    <row r="819" customFormat="false" ht="15" hidden="false" customHeight="false" outlineLevel="0" collapsed="false">
      <c r="I819" s="51"/>
      <c r="K819" s="2"/>
    </row>
    <row r="820" customFormat="false" ht="15" hidden="false" customHeight="false" outlineLevel="0" collapsed="false">
      <c r="I820" s="51"/>
      <c r="K820" s="2"/>
    </row>
    <row r="821" customFormat="false" ht="15" hidden="false" customHeight="false" outlineLevel="0" collapsed="false">
      <c r="I821" s="51"/>
      <c r="K821" s="2"/>
    </row>
    <row r="822" customFormat="false" ht="15" hidden="false" customHeight="false" outlineLevel="0" collapsed="false">
      <c r="I822" s="51"/>
      <c r="K822" s="2"/>
    </row>
    <row r="823" customFormat="false" ht="15" hidden="false" customHeight="false" outlineLevel="0" collapsed="false">
      <c r="I823" s="51"/>
      <c r="K823" s="2"/>
    </row>
    <row r="824" customFormat="false" ht="15" hidden="false" customHeight="false" outlineLevel="0" collapsed="false">
      <c r="I824" s="51"/>
      <c r="K824" s="2"/>
    </row>
    <row r="825" customFormat="false" ht="15" hidden="false" customHeight="false" outlineLevel="0" collapsed="false">
      <c r="I825" s="51"/>
      <c r="K825" s="2"/>
    </row>
    <row r="826" customFormat="false" ht="15" hidden="false" customHeight="false" outlineLevel="0" collapsed="false">
      <c r="I826" s="51"/>
      <c r="K826" s="2"/>
    </row>
    <row r="827" customFormat="false" ht="15" hidden="false" customHeight="false" outlineLevel="0" collapsed="false">
      <c r="I827" s="51"/>
      <c r="K827" s="2"/>
    </row>
    <row r="828" customFormat="false" ht="15" hidden="false" customHeight="false" outlineLevel="0" collapsed="false">
      <c r="I828" s="51"/>
      <c r="K828" s="2"/>
    </row>
    <row r="829" customFormat="false" ht="15" hidden="false" customHeight="false" outlineLevel="0" collapsed="false">
      <c r="I829" s="51"/>
      <c r="K829" s="2"/>
    </row>
    <row r="830" customFormat="false" ht="15" hidden="false" customHeight="false" outlineLevel="0" collapsed="false">
      <c r="I830" s="51"/>
      <c r="K830" s="2"/>
    </row>
    <row r="831" customFormat="false" ht="15" hidden="false" customHeight="false" outlineLevel="0" collapsed="false">
      <c r="I831" s="51"/>
      <c r="K831" s="2"/>
    </row>
    <row r="832" customFormat="false" ht="15" hidden="false" customHeight="false" outlineLevel="0" collapsed="false">
      <c r="I832" s="51"/>
      <c r="K832" s="2"/>
    </row>
    <row r="833" customFormat="false" ht="15" hidden="false" customHeight="false" outlineLevel="0" collapsed="false">
      <c r="I833" s="51"/>
      <c r="K833" s="2"/>
    </row>
    <row r="834" customFormat="false" ht="15" hidden="false" customHeight="false" outlineLevel="0" collapsed="false">
      <c r="I834" s="51"/>
      <c r="K834" s="2"/>
    </row>
    <row r="835" customFormat="false" ht="15" hidden="false" customHeight="false" outlineLevel="0" collapsed="false">
      <c r="I835" s="51"/>
      <c r="K835" s="2"/>
    </row>
    <row r="836" customFormat="false" ht="15" hidden="false" customHeight="false" outlineLevel="0" collapsed="false">
      <c r="I836" s="51"/>
      <c r="K836" s="2"/>
    </row>
    <row r="837" customFormat="false" ht="15" hidden="false" customHeight="false" outlineLevel="0" collapsed="false">
      <c r="I837" s="51"/>
      <c r="K837" s="2"/>
    </row>
    <row r="838" customFormat="false" ht="15" hidden="false" customHeight="false" outlineLevel="0" collapsed="false">
      <c r="I838" s="51"/>
      <c r="K838" s="2"/>
    </row>
    <row r="839" customFormat="false" ht="15" hidden="false" customHeight="false" outlineLevel="0" collapsed="false">
      <c r="I839" s="51"/>
      <c r="K839" s="2"/>
    </row>
    <row r="840" customFormat="false" ht="15" hidden="false" customHeight="false" outlineLevel="0" collapsed="false">
      <c r="I840" s="51"/>
      <c r="K840" s="2"/>
    </row>
    <row r="841" customFormat="false" ht="15" hidden="false" customHeight="false" outlineLevel="0" collapsed="false">
      <c r="I841" s="51"/>
      <c r="K841" s="2"/>
    </row>
    <row r="842" customFormat="false" ht="15" hidden="false" customHeight="false" outlineLevel="0" collapsed="false">
      <c r="I842" s="51"/>
      <c r="K842" s="2"/>
    </row>
    <row r="843" customFormat="false" ht="15" hidden="false" customHeight="false" outlineLevel="0" collapsed="false">
      <c r="I843" s="51"/>
      <c r="K843" s="2"/>
    </row>
    <row r="844" customFormat="false" ht="15" hidden="false" customHeight="false" outlineLevel="0" collapsed="false">
      <c r="I844" s="51"/>
      <c r="K844" s="2"/>
    </row>
    <row r="845" customFormat="false" ht="15" hidden="false" customHeight="false" outlineLevel="0" collapsed="false">
      <c r="I845" s="51"/>
      <c r="K845" s="2"/>
    </row>
    <row r="846" customFormat="false" ht="15" hidden="false" customHeight="false" outlineLevel="0" collapsed="false">
      <c r="I846" s="51"/>
      <c r="K846" s="2"/>
    </row>
    <row r="847" customFormat="false" ht="15" hidden="false" customHeight="false" outlineLevel="0" collapsed="false">
      <c r="I847" s="51"/>
      <c r="K847" s="2"/>
    </row>
    <row r="848" customFormat="false" ht="15" hidden="false" customHeight="false" outlineLevel="0" collapsed="false">
      <c r="I848" s="51"/>
      <c r="K848" s="2"/>
    </row>
    <row r="849" customFormat="false" ht="15" hidden="false" customHeight="false" outlineLevel="0" collapsed="false">
      <c r="I849" s="51"/>
      <c r="K849" s="2"/>
    </row>
    <row r="850" customFormat="false" ht="15" hidden="false" customHeight="false" outlineLevel="0" collapsed="false">
      <c r="I850" s="51"/>
      <c r="K850" s="2"/>
    </row>
    <row r="851" customFormat="false" ht="15" hidden="false" customHeight="false" outlineLevel="0" collapsed="false">
      <c r="I851" s="51"/>
      <c r="K851" s="2"/>
    </row>
    <row r="852" customFormat="false" ht="15" hidden="false" customHeight="false" outlineLevel="0" collapsed="false">
      <c r="I852" s="51"/>
      <c r="K852" s="2"/>
    </row>
    <row r="853" customFormat="false" ht="15" hidden="false" customHeight="false" outlineLevel="0" collapsed="false">
      <c r="I853" s="51"/>
      <c r="K853" s="2"/>
    </row>
    <row r="854" customFormat="false" ht="15" hidden="false" customHeight="false" outlineLevel="0" collapsed="false">
      <c r="I854" s="51"/>
      <c r="K854" s="2"/>
    </row>
    <row r="855" customFormat="false" ht="15" hidden="false" customHeight="false" outlineLevel="0" collapsed="false">
      <c r="I855" s="51"/>
      <c r="K855" s="2"/>
    </row>
    <row r="856" customFormat="false" ht="15" hidden="false" customHeight="false" outlineLevel="0" collapsed="false">
      <c r="I856" s="51"/>
      <c r="K856" s="2"/>
    </row>
    <row r="857" customFormat="false" ht="15" hidden="false" customHeight="false" outlineLevel="0" collapsed="false">
      <c r="I857" s="51"/>
      <c r="K857" s="2"/>
    </row>
    <row r="858" customFormat="false" ht="15" hidden="false" customHeight="false" outlineLevel="0" collapsed="false">
      <c r="I858" s="51"/>
      <c r="K858" s="2"/>
    </row>
    <row r="859" customFormat="false" ht="15" hidden="false" customHeight="false" outlineLevel="0" collapsed="false">
      <c r="I859" s="51"/>
      <c r="K859" s="2"/>
    </row>
    <row r="860" customFormat="false" ht="15" hidden="false" customHeight="false" outlineLevel="0" collapsed="false">
      <c r="I860" s="51"/>
      <c r="K860" s="2"/>
    </row>
    <row r="861" customFormat="false" ht="15" hidden="false" customHeight="false" outlineLevel="0" collapsed="false">
      <c r="I861" s="51"/>
      <c r="K861" s="2"/>
    </row>
    <row r="862" customFormat="false" ht="15" hidden="false" customHeight="false" outlineLevel="0" collapsed="false">
      <c r="I862" s="51"/>
      <c r="K862" s="2"/>
    </row>
    <row r="863" customFormat="false" ht="15" hidden="false" customHeight="false" outlineLevel="0" collapsed="false">
      <c r="I863" s="51"/>
      <c r="K863" s="2"/>
    </row>
    <row r="864" customFormat="false" ht="15" hidden="false" customHeight="false" outlineLevel="0" collapsed="false">
      <c r="I864" s="51"/>
      <c r="K864" s="2"/>
    </row>
    <row r="865" customFormat="false" ht="15" hidden="false" customHeight="false" outlineLevel="0" collapsed="false">
      <c r="I865" s="51"/>
      <c r="K865" s="2"/>
    </row>
    <row r="866" customFormat="false" ht="15" hidden="false" customHeight="false" outlineLevel="0" collapsed="false">
      <c r="I866" s="51"/>
      <c r="K866" s="2"/>
    </row>
    <row r="867" customFormat="false" ht="15" hidden="false" customHeight="false" outlineLevel="0" collapsed="false">
      <c r="I867" s="51"/>
      <c r="K867" s="2"/>
    </row>
    <row r="868" customFormat="false" ht="15" hidden="false" customHeight="false" outlineLevel="0" collapsed="false">
      <c r="I868" s="51"/>
      <c r="K868" s="2"/>
    </row>
    <row r="869" customFormat="false" ht="15" hidden="false" customHeight="false" outlineLevel="0" collapsed="false">
      <c r="I869" s="51"/>
      <c r="K869" s="2"/>
    </row>
    <row r="870" customFormat="false" ht="15" hidden="false" customHeight="false" outlineLevel="0" collapsed="false">
      <c r="I870" s="51"/>
      <c r="K870" s="2"/>
    </row>
    <row r="871" customFormat="false" ht="15" hidden="false" customHeight="false" outlineLevel="0" collapsed="false">
      <c r="I871" s="51"/>
      <c r="K871" s="2"/>
    </row>
    <row r="872" customFormat="false" ht="15" hidden="false" customHeight="false" outlineLevel="0" collapsed="false">
      <c r="I872" s="51"/>
      <c r="K872" s="2"/>
    </row>
    <row r="873" customFormat="false" ht="15" hidden="false" customHeight="false" outlineLevel="0" collapsed="false">
      <c r="I873" s="51"/>
      <c r="K873" s="2"/>
    </row>
    <row r="874" customFormat="false" ht="15" hidden="false" customHeight="false" outlineLevel="0" collapsed="false">
      <c r="I874" s="51"/>
      <c r="K874" s="2"/>
    </row>
    <row r="875" customFormat="false" ht="15" hidden="false" customHeight="false" outlineLevel="0" collapsed="false">
      <c r="I875" s="51"/>
      <c r="K875" s="2"/>
    </row>
    <row r="876" customFormat="false" ht="15" hidden="false" customHeight="false" outlineLevel="0" collapsed="false">
      <c r="I876" s="51"/>
      <c r="K876" s="2"/>
    </row>
    <row r="877" customFormat="false" ht="15" hidden="false" customHeight="false" outlineLevel="0" collapsed="false">
      <c r="I877" s="51"/>
      <c r="K877" s="2"/>
    </row>
    <row r="878" customFormat="false" ht="15" hidden="false" customHeight="false" outlineLevel="0" collapsed="false">
      <c r="I878" s="51"/>
      <c r="K878" s="2"/>
    </row>
    <row r="879" customFormat="false" ht="15" hidden="false" customHeight="false" outlineLevel="0" collapsed="false">
      <c r="I879" s="51"/>
      <c r="K879" s="2"/>
    </row>
    <row r="880" customFormat="false" ht="15" hidden="false" customHeight="false" outlineLevel="0" collapsed="false">
      <c r="I880" s="51"/>
      <c r="K880" s="2"/>
    </row>
    <row r="881" customFormat="false" ht="15" hidden="false" customHeight="false" outlineLevel="0" collapsed="false">
      <c r="I881" s="51"/>
      <c r="K881" s="2"/>
    </row>
    <row r="882" customFormat="false" ht="15" hidden="false" customHeight="false" outlineLevel="0" collapsed="false">
      <c r="I882" s="51"/>
      <c r="K882" s="2"/>
    </row>
    <row r="883" customFormat="false" ht="15" hidden="false" customHeight="false" outlineLevel="0" collapsed="false">
      <c r="I883" s="51"/>
      <c r="K883" s="2"/>
    </row>
    <row r="884" customFormat="false" ht="15" hidden="false" customHeight="false" outlineLevel="0" collapsed="false">
      <c r="I884" s="51"/>
      <c r="K884" s="2"/>
    </row>
    <row r="885" customFormat="false" ht="15" hidden="false" customHeight="false" outlineLevel="0" collapsed="false">
      <c r="I885" s="51"/>
      <c r="K885" s="2"/>
    </row>
    <row r="886" customFormat="false" ht="15" hidden="false" customHeight="false" outlineLevel="0" collapsed="false">
      <c r="I886" s="51"/>
      <c r="K886" s="2"/>
    </row>
    <row r="887" customFormat="false" ht="15" hidden="false" customHeight="false" outlineLevel="0" collapsed="false">
      <c r="I887" s="51"/>
      <c r="K887" s="2"/>
    </row>
    <row r="888" customFormat="false" ht="15" hidden="false" customHeight="false" outlineLevel="0" collapsed="false">
      <c r="I888" s="51"/>
      <c r="K888" s="2"/>
    </row>
    <row r="889" customFormat="false" ht="15" hidden="false" customHeight="false" outlineLevel="0" collapsed="false">
      <c r="I889" s="51"/>
      <c r="K889" s="2"/>
    </row>
    <row r="890" customFormat="false" ht="15" hidden="false" customHeight="false" outlineLevel="0" collapsed="false">
      <c r="I890" s="51"/>
      <c r="K890" s="2"/>
    </row>
    <row r="891" customFormat="false" ht="15" hidden="false" customHeight="false" outlineLevel="0" collapsed="false">
      <c r="I891" s="51"/>
      <c r="K891" s="2"/>
    </row>
    <row r="892" customFormat="false" ht="15" hidden="false" customHeight="false" outlineLevel="0" collapsed="false">
      <c r="I892" s="51"/>
      <c r="K892" s="2"/>
    </row>
    <row r="893" customFormat="false" ht="15" hidden="false" customHeight="false" outlineLevel="0" collapsed="false">
      <c r="I893" s="51"/>
      <c r="K893" s="2"/>
    </row>
    <row r="894" customFormat="false" ht="15" hidden="false" customHeight="false" outlineLevel="0" collapsed="false">
      <c r="I894" s="51"/>
      <c r="K894" s="2"/>
    </row>
    <row r="895" customFormat="false" ht="15" hidden="false" customHeight="false" outlineLevel="0" collapsed="false">
      <c r="I895" s="51"/>
      <c r="K895" s="2"/>
    </row>
    <row r="896" customFormat="false" ht="15" hidden="false" customHeight="false" outlineLevel="0" collapsed="false">
      <c r="I896" s="51"/>
      <c r="K896" s="2"/>
    </row>
    <row r="897" customFormat="false" ht="15" hidden="false" customHeight="false" outlineLevel="0" collapsed="false">
      <c r="I897" s="51"/>
      <c r="K897" s="2"/>
    </row>
    <row r="898" customFormat="false" ht="15" hidden="false" customHeight="false" outlineLevel="0" collapsed="false">
      <c r="I898" s="51"/>
      <c r="K898" s="2"/>
    </row>
    <row r="899" customFormat="false" ht="15" hidden="false" customHeight="false" outlineLevel="0" collapsed="false">
      <c r="I899" s="51"/>
      <c r="K899" s="2"/>
    </row>
    <row r="900" customFormat="false" ht="15" hidden="false" customHeight="false" outlineLevel="0" collapsed="false">
      <c r="I900" s="51"/>
      <c r="K900" s="2"/>
    </row>
    <row r="901" customFormat="false" ht="15" hidden="false" customHeight="false" outlineLevel="0" collapsed="false">
      <c r="I901" s="51"/>
      <c r="K901" s="2"/>
    </row>
    <row r="902" customFormat="false" ht="15" hidden="false" customHeight="false" outlineLevel="0" collapsed="false">
      <c r="I902" s="51"/>
      <c r="K902" s="2"/>
    </row>
    <row r="903" customFormat="false" ht="15" hidden="false" customHeight="false" outlineLevel="0" collapsed="false">
      <c r="I903" s="51"/>
      <c r="K903" s="2"/>
    </row>
    <row r="904" customFormat="false" ht="15" hidden="false" customHeight="false" outlineLevel="0" collapsed="false">
      <c r="I904" s="51"/>
      <c r="K904" s="2"/>
    </row>
    <row r="905" customFormat="false" ht="15" hidden="false" customHeight="false" outlineLevel="0" collapsed="false">
      <c r="I905" s="51"/>
      <c r="K905" s="2"/>
    </row>
    <row r="906" customFormat="false" ht="15" hidden="false" customHeight="false" outlineLevel="0" collapsed="false">
      <c r="I906" s="51"/>
      <c r="K906" s="2"/>
    </row>
    <row r="907" customFormat="false" ht="15" hidden="false" customHeight="false" outlineLevel="0" collapsed="false">
      <c r="I907" s="51"/>
      <c r="K907" s="2"/>
    </row>
    <row r="908" customFormat="false" ht="15" hidden="false" customHeight="false" outlineLevel="0" collapsed="false">
      <c r="I908" s="51"/>
      <c r="K908" s="2"/>
    </row>
    <row r="909" customFormat="false" ht="15" hidden="false" customHeight="false" outlineLevel="0" collapsed="false">
      <c r="I909" s="51"/>
      <c r="K909" s="2"/>
    </row>
    <row r="910" customFormat="false" ht="15" hidden="false" customHeight="false" outlineLevel="0" collapsed="false">
      <c r="I910" s="51"/>
      <c r="K910" s="2"/>
    </row>
    <row r="911" customFormat="false" ht="15" hidden="false" customHeight="false" outlineLevel="0" collapsed="false">
      <c r="I911" s="51"/>
      <c r="K911" s="2"/>
    </row>
    <row r="912" customFormat="false" ht="15" hidden="false" customHeight="false" outlineLevel="0" collapsed="false">
      <c r="I912" s="51"/>
      <c r="K912" s="2"/>
    </row>
    <row r="913" customFormat="false" ht="15" hidden="false" customHeight="false" outlineLevel="0" collapsed="false">
      <c r="I913" s="51"/>
      <c r="K913" s="2"/>
    </row>
    <row r="914" customFormat="false" ht="15" hidden="false" customHeight="false" outlineLevel="0" collapsed="false">
      <c r="I914" s="51"/>
      <c r="K914" s="2"/>
    </row>
    <row r="915" customFormat="false" ht="15" hidden="false" customHeight="false" outlineLevel="0" collapsed="false">
      <c r="I915" s="51"/>
      <c r="K915" s="2"/>
    </row>
    <row r="916" customFormat="false" ht="15" hidden="false" customHeight="false" outlineLevel="0" collapsed="false">
      <c r="I916" s="51"/>
      <c r="K916" s="2"/>
    </row>
    <row r="917" customFormat="false" ht="15" hidden="false" customHeight="false" outlineLevel="0" collapsed="false">
      <c r="I917" s="51"/>
      <c r="K917" s="2"/>
    </row>
    <row r="918" customFormat="false" ht="15" hidden="false" customHeight="false" outlineLevel="0" collapsed="false">
      <c r="I918" s="51"/>
      <c r="K918" s="2"/>
    </row>
    <row r="919" customFormat="false" ht="15" hidden="false" customHeight="false" outlineLevel="0" collapsed="false">
      <c r="I919" s="51"/>
      <c r="K919" s="2"/>
    </row>
    <row r="920" customFormat="false" ht="15" hidden="false" customHeight="false" outlineLevel="0" collapsed="false">
      <c r="I920" s="51"/>
      <c r="K920" s="2"/>
    </row>
    <row r="921" customFormat="false" ht="15" hidden="false" customHeight="false" outlineLevel="0" collapsed="false">
      <c r="I921" s="51"/>
      <c r="K921" s="2"/>
    </row>
    <row r="922" customFormat="false" ht="15" hidden="false" customHeight="false" outlineLevel="0" collapsed="false">
      <c r="I922" s="51"/>
      <c r="K922" s="2"/>
    </row>
    <row r="923" customFormat="false" ht="15" hidden="false" customHeight="false" outlineLevel="0" collapsed="false">
      <c r="I923" s="51"/>
      <c r="K923" s="2"/>
    </row>
    <row r="924" customFormat="false" ht="15" hidden="false" customHeight="false" outlineLevel="0" collapsed="false">
      <c r="I924" s="51"/>
      <c r="K924" s="2"/>
    </row>
    <row r="925" customFormat="false" ht="15" hidden="false" customHeight="false" outlineLevel="0" collapsed="false">
      <c r="I925" s="51"/>
      <c r="K925" s="2"/>
    </row>
    <row r="926" customFormat="false" ht="15" hidden="false" customHeight="false" outlineLevel="0" collapsed="false">
      <c r="I926" s="51"/>
      <c r="K926" s="2"/>
    </row>
    <row r="927" customFormat="false" ht="15" hidden="false" customHeight="false" outlineLevel="0" collapsed="false">
      <c r="I927" s="51"/>
      <c r="K927" s="2"/>
    </row>
    <row r="928" customFormat="false" ht="15" hidden="false" customHeight="false" outlineLevel="0" collapsed="false">
      <c r="I928" s="51"/>
      <c r="K928" s="2"/>
    </row>
    <row r="929" customFormat="false" ht="15" hidden="false" customHeight="false" outlineLevel="0" collapsed="false">
      <c r="I929" s="51"/>
      <c r="K929" s="2"/>
    </row>
    <row r="930" customFormat="false" ht="15" hidden="false" customHeight="false" outlineLevel="0" collapsed="false">
      <c r="I930" s="51"/>
      <c r="K930" s="2"/>
    </row>
    <row r="931" customFormat="false" ht="15" hidden="false" customHeight="false" outlineLevel="0" collapsed="false">
      <c r="I931" s="51"/>
      <c r="K931" s="2"/>
    </row>
    <row r="932" customFormat="false" ht="15" hidden="false" customHeight="false" outlineLevel="0" collapsed="false">
      <c r="I932" s="51"/>
      <c r="K932" s="2"/>
    </row>
    <row r="933" customFormat="false" ht="15" hidden="false" customHeight="false" outlineLevel="0" collapsed="false">
      <c r="I933" s="51"/>
      <c r="K933" s="2"/>
    </row>
    <row r="934" customFormat="false" ht="15" hidden="false" customHeight="false" outlineLevel="0" collapsed="false">
      <c r="I934" s="51"/>
      <c r="K934" s="2"/>
    </row>
    <row r="935" customFormat="false" ht="15" hidden="false" customHeight="false" outlineLevel="0" collapsed="false">
      <c r="I935" s="51"/>
      <c r="K935" s="2"/>
    </row>
    <row r="936" customFormat="false" ht="15" hidden="false" customHeight="false" outlineLevel="0" collapsed="false">
      <c r="I936" s="51"/>
      <c r="K936" s="2"/>
    </row>
    <row r="937" customFormat="false" ht="15" hidden="false" customHeight="false" outlineLevel="0" collapsed="false">
      <c r="I937" s="51"/>
      <c r="K937" s="2"/>
    </row>
    <row r="938" customFormat="false" ht="15" hidden="false" customHeight="false" outlineLevel="0" collapsed="false">
      <c r="I938" s="51"/>
      <c r="K938" s="2"/>
    </row>
    <row r="939" customFormat="false" ht="15" hidden="false" customHeight="false" outlineLevel="0" collapsed="false">
      <c r="I939" s="51"/>
      <c r="K939" s="2"/>
    </row>
    <row r="940" customFormat="false" ht="15" hidden="false" customHeight="false" outlineLevel="0" collapsed="false">
      <c r="I940" s="51"/>
      <c r="K940" s="2"/>
    </row>
    <row r="941" customFormat="false" ht="15" hidden="false" customHeight="false" outlineLevel="0" collapsed="false">
      <c r="I941" s="51"/>
      <c r="K941" s="2"/>
    </row>
    <row r="942" customFormat="false" ht="15" hidden="false" customHeight="false" outlineLevel="0" collapsed="false">
      <c r="I942" s="51"/>
      <c r="K942" s="2"/>
    </row>
    <row r="943" customFormat="false" ht="15" hidden="false" customHeight="false" outlineLevel="0" collapsed="false">
      <c r="I943" s="51"/>
      <c r="K943" s="2"/>
    </row>
    <row r="944" customFormat="false" ht="15" hidden="false" customHeight="false" outlineLevel="0" collapsed="false">
      <c r="I944" s="51"/>
      <c r="K944" s="2"/>
    </row>
    <row r="945" customFormat="false" ht="15" hidden="false" customHeight="false" outlineLevel="0" collapsed="false">
      <c r="I945" s="51"/>
      <c r="K945" s="2"/>
    </row>
    <row r="946" customFormat="false" ht="15" hidden="false" customHeight="false" outlineLevel="0" collapsed="false">
      <c r="I946" s="51"/>
      <c r="K946" s="2"/>
    </row>
    <row r="947" customFormat="false" ht="15" hidden="false" customHeight="false" outlineLevel="0" collapsed="false">
      <c r="I947" s="51"/>
      <c r="K947" s="2"/>
    </row>
    <row r="948" customFormat="false" ht="15" hidden="false" customHeight="false" outlineLevel="0" collapsed="false">
      <c r="I948" s="51"/>
      <c r="K948" s="2"/>
    </row>
    <row r="949" customFormat="false" ht="15" hidden="false" customHeight="false" outlineLevel="0" collapsed="false">
      <c r="I949" s="51"/>
      <c r="K949" s="2"/>
    </row>
    <row r="950" customFormat="false" ht="15" hidden="false" customHeight="false" outlineLevel="0" collapsed="false">
      <c r="I950" s="51"/>
      <c r="K950" s="2"/>
    </row>
    <row r="951" customFormat="false" ht="15" hidden="false" customHeight="false" outlineLevel="0" collapsed="false">
      <c r="I951" s="51"/>
      <c r="K951" s="2"/>
    </row>
    <row r="952" customFormat="false" ht="15" hidden="false" customHeight="false" outlineLevel="0" collapsed="false">
      <c r="I952" s="51"/>
      <c r="K952" s="2"/>
    </row>
    <row r="953" customFormat="false" ht="15" hidden="false" customHeight="false" outlineLevel="0" collapsed="false">
      <c r="I953" s="51"/>
      <c r="K953" s="2"/>
    </row>
    <row r="954" customFormat="false" ht="15" hidden="false" customHeight="false" outlineLevel="0" collapsed="false">
      <c r="I954" s="51"/>
      <c r="K954" s="2"/>
    </row>
    <row r="955" customFormat="false" ht="15" hidden="false" customHeight="false" outlineLevel="0" collapsed="false">
      <c r="I955" s="51"/>
      <c r="K955" s="2"/>
    </row>
    <row r="956" customFormat="false" ht="15" hidden="false" customHeight="false" outlineLevel="0" collapsed="false">
      <c r="I956" s="51"/>
      <c r="K956" s="2"/>
    </row>
    <row r="957" customFormat="false" ht="15" hidden="false" customHeight="false" outlineLevel="0" collapsed="false">
      <c r="I957" s="51"/>
      <c r="K957" s="2"/>
    </row>
    <row r="958" customFormat="false" ht="15" hidden="false" customHeight="false" outlineLevel="0" collapsed="false">
      <c r="I958" s="51"/>
      <c r="K958" s="2"/>
    </row>
    <row r="959" customFormat="false" ht="15" hidden="false" customHeight="false" outlineLevel="0" collapsed="false">
      <c r="I959" s="51"/>
      <c r="K959" s="2"/>
    </row>
    <row r="960" customFormat="false" ht="15" hidden="false" customHeight="false" outlineLevel="0" collapsed="false">
      <c r="I960" s="51"/>
      <c r="K960" s="2"/>
    </row>
    <row r="961" customFormat="false" ht="15" hidden="false" customHeight="false" outlineLevel="0" collapsed="false">
      <c r="I961" s="51"/>
      <c r="K961" s="2"/>
    </row>
    <row r="962" customFormat="false" ht="15" hidden="false" customHeight="false" outlineLevel="0" collapsed="false">
      <c r="I962" s="51"/>
      <c r="K962" s="2"/>
    </row>
    <row r="963" customFormat="false" ht="15" hidden="false" customHeight="false" outlineLevel="0" collapsed="false">
      <c r="I963" s="51"/>
      <c r="K963" s="2"/>
    </row>
    <row r="964" customFormat="false" ht="15" hidden="false" customHeight="false" outlineLevel="0" collapsed="false">
      <c r="I964" s="51"/>
      <c r="K964" s="2"/>
    </row>
    <row r="965" customFormat="false" ht="15" hidden="false" customHeight="false" outlineLevel="0" collapsed="false">
      <c r="I965" s="51"/>
      <c r="K965" s="2"/>
    </row>
    <row r="966" customFormat="false" ht="15" hidden="false" customHeight="false" outlineLevel="0" collapsed="false">
      <c r="I966" s="51"/>
      <c r="K966" s="2"/>
    </row>
    <row r="967" customFormat="false" ht="15" hidden="false" customHeight="false" outlineLevel="0" collapsed="false">
      <c r="I967" s="51"/>
      <c r="K967" s="2"/>
    </row>
    <row r="968" customFormat="false" ht="15" hidden="false" customHeight="false" outlineLevel="0" collapsed="false">
      <c r="I968" s="51"/>
      <c r="K968" s="2"/>
    </row>
    <row r="969" customFormat="false" ht="15" hidden="false" customHeight="false" outlineLevel="0" collapsed="false">
      <c r="I969" s="51"/>
      <c r="K969" s="2"/>
    </row>
    <row r="970" customFormat="false" ht="15" hidden="false" customHeight="false" outlineLevel="0" collapsed="false">
      <c r="I970" s="51"/>
      <c r="K970" s="2"/>
    </row>
    <row r="971" customFormat="false" ht="15" hidden="false" customHeight="false" outlineLevel="0" collapsed="false">
      <c r="I971" s="51"/>
      <c r="K971" s="2"/>
    </row>
    <row r="972" customFormat="false" ht="15" hidden="false" customHeight="false" outlineLevel="0" collapsed="false">
      <c r="I972" s="51"/>
      <c r="K972" s="2"/>
    </row>
    <row r="973" customFormat="false" ht="15" hidden="false" customHeight="false" outlineLevel="0" collapsed="false">
      <c r="I973" s="51"/>
      <c r="K973" s="2"/>
    </row>
    <row r="974" customFormat="false" ht="15" hidden="false" customHeight="false" outlineLevel="0" collapsed="false">
      <c r="I974" s="51"/>
      <c r="K974" s="2"/>
    </row>
    <row r="975" customFormat="false" ht="15" hidden="false" customHeight="false" outlineLevel="0" collapsed="false">
      <c r="I975" s="51"/>
      <c r="K975" s="2"/>
    </row>
    <row r="976" customFormat="false" ht="15" hidden="false" customHeight="false" outlineLevel="0" collapsed="false">
      <c r="I976" s="51"/>
      <c r="K976" s="2"/>
    </row>
    <row r="977" customFormat="false" ht="15" hidden="false" customHeight="false" outlineLevel="0" collapsed="false">
      <c r="I977" s="51"/>
      <c r="K977" s="2"/>
    </row>
    <row r="978" customFormat="false" ht="15" hidden="false" customHeight="false" outlineLevel="0" collapsed="false">
      <c r="I978" s="51"/>
      <c r="K978" s="2"/>
    </row>
    <row r="979" customFormat="false" ht="15" hidden="false" customHeight="false" outlineLevel="0" collapsed="false">
      <c r="I979" s="51"/>
      <c r="K979" s="2"/>
    </row>
    <row r="980" customFormat="false" ht="15" hidden="false" customHeight="false" outlineLevel="0" collapsed="false">
      <c r="I980" s="51"/>
      <c r="K980" s="2"/>
    </row>
    <row r="981" customFormat="false" ht="15" hidden="false" customHeight="false" outlineLevel="0" collapsed="false">
      <c r="I981" s="51"/>
      <c r="K981" s="2"/>
    </row>
    <row r="982" customFormat="false" ht="15" hidden="false" customHeight="false" outlineLevel="0" collapsed="false">
      <c r="I982" s="51"/>
      <c r="K982" s="2"/>
    </row>
    <row r="983" customFormat="false" ht="15" hidden="false" customHeight="false" outlineLevel="0" collapsed="false">
      <c r="I983" s="51"/>
      <c r="K983" s="2"/>
    </row>
    <row r="984" customFormat="false" ht="15" hidden="false" customHeight="false" outlineLevel="0" collapsed="false">
      <c r="I984" s="51"/>
      <c r="K984" s="2"/>
    </row>
    <row r="985" customFormat="false" ht="15" hidden="false" customHeight="false" outlineLevel="0" collapsed="false">
      <c r="I985" s="51"/>
      <c r="K985" s="2"/>
    </row>
    <row r="986" customFormat="false" ht="15" hidden="false" customHeight="false" outlineLevel="0" collapsed="false">
      <c r="I986" s="51"/>
      <c r="K986" s="2"/>
    </row>
    <row r="987" customFormat="false" ht="15" hidden="false" customHeight="false" outlineLevel="0" collapsed="false">
      <c r="I987" s="51"/>
      <c r="K987" s="2"/>
    </row>
    <row r="988" customFormat="false" ht="15" hidden="false" customHeight="false" outlineLevel="0" collapsed="false">
      <c r="I988" s="51"/>
      <c r="K988" s="2"/>
    </row>
    <row r="989" customFormat="false" ht="15" hidden="false" customHeight="false" outlineLevel="0" collapsed="false">
      <c r="I989" s="51"/>
      <c r="K989" s="2"/>
    </row>
    <row r="990" customFormat="false" ht="15" hidden="false" customHeight="false" outlineLevel="0" collapsed="false">
      <c r="I990" s="51"/>
      <c r="K990" s="2"/>
    </row>
    <row r="991" customFormat="false" ht="15" hidden="false" customHeight="false" outlineLevel="0" collapsed="false">
      <c r="I991" s="51"/>
      <c r="K991" s="2"/>
    </row>
    <row r="992" customFormat="false" ht="15" hidden="false" customHeight="false" outlineLevel="0" collapsed="false">
      <c r="I992" s="51"/>
      <c r="K992" s="2"/>
    </row>
    <row r="993" customFormat="false" ht="15" hidden="false" customHeight="false" outlineLevel="0" collapsed="false">
      <c r="I993" s="51"/>
      <c r="K993" s="2"/>
    </row>
    <row r="994" customFormat="false" ht="15" hidden="false" customHeight="false" outlineLevel="0" collapsed="false">
      <c r="I994" s="51"/>
      <c r="K994" s="2"/>
    </row>
    <row r="995" customFormat="false" ht="15" hidden="false" customHeight="false" outlineLevel="0" collapsed="false">
      <c r="I995" s="51"/>
      <c r="K995" s="2"/>
    </row>
    <row r="996" customFormat="false" ht="15" hidden="false" customHeight="false" outlineLevel="0" collapsed="false">
      <c r="I996" s="51"/>
      <c r="K996" s="2"/>
    </row>
    <row r="997" customFormat="false" ht="15" hidden="false" customHeight="false" outlineLevel="0" collapsed="false">
      <c r="I997" s="51"/>
      <c r="K997" s="2"/>
    </row>
    <row r="998" customFormat="false" ht="15" hidden="false" customHeight="false" outlineLevel="0" collapsed="false">
      <c r="I998" s="51"/>
      <c r="K998" s="2"/>
    </row>
    <row r="999" customFormat="false" ht="15" hidden="false" customHeight="false" outlineLevel="0" collapsed="false">
      <c r="I999" s="51"/>
      <c r="K999" s="2"/>
    </row>
    <row r="1000" customFormat="false" ht="15" hidden="false" customHeight="false" outlineLevel="0" collapsed="false">
      <c r="I1000" s="51"/>
      <c r="K1000" s="2"/>
    </row>
    <row r="1001" customFormat="false" ht="15" hidden="false" customHeight="false" outlineLevel="0" collapsed="false">
      <c r="I1001" s="51"/>
      <c r="K1001" s="2"/>
    </row>
    <row r="1002" customFormat="false" ht="15" hidden="false" customHeight="false" outlineLevel="0" collapsed="false">
      <c r="I1002" s="51"/>
      <c r="K1002" s="2"/>
    </row>
    <row r="1003" customFormat="false" ht="15" hidden="false" customHeight="false" outlineLevel="0" collapsed="false">
      <c r="I1003" s="51"/>
      <c r="K1003" s="2"/>
    </row>
    <row r="1004" customFormat="false" ht="15" hidden="false" customHeight="false" outlineLevel="0" collapsed="false">
      <c r="I1004" s="51"/>
      <c r="K1004" s="2"/>
    </row>
    <row r="1005" customFormat="false" ht="15" hidden="false" customHeight="false" outlineLevel="0" collapsed="false">
      <c r="I1005" s="51"/>
      <c r="K1005" s="2"/>
    </row>
    <row r="1006" customFormat="false" ht="15" hidden="false" customHeight="false" outlineLevel="0" collapsed="false">
      <c r="I1006" s="51"/>
      <c r="K1006" s="2"/>
    </row>
    <row r="1007" customFormat="false" ht="15" hidden="false" customHeight="false" outlineLevel="0" collapsed="false">
      <c r="I1007" s="51"/>
      <c r="K1007" s="2"/>
    </row>
    <row r="1008" customFormat="false" ht="15" hidden="false" customHeight="false" outlineLevel="0" collapsed="false">
      <c r="I1008" s="51"/>
      <c r="K1008" s="2"/>
    </row>
    <row r="1009" customFormat="false" ht="15" hidden="false" customHeight="false" outlineLevel="0" collapsed="false">
      <c r="I1009" s="51"/>
      <c r="K1009" s="2"/>
    </row>
    <row r="1010" customFormat="false" ht="15" hidden="false" customHeight="false" outlineLevel="0" collapsed="false">
      <c r="I1010" s="51"/>
      <c r="K1010" s="2"/>
    </row>
    <row r="1011" customFormat="false" ht="15" hidden="false" customHeight="false" outlineLevel="0" collapsed="false">
      <c r="I1011" s="51"/>
      <c r="K1011" s="2"/>
    </row>
    <row r="1012" customFormat="false" ht="15" hidden="false" customHeight="false" outlineLevel="0" collapsed="false">
      <c r="I1012" s="51"/>
      <c r="K1012" s="2"/>
    </row>
    <row r="1013" customFormat="false" ht="15" hidden="false" customHeight="false" outlineLevel="0" collapsed="false">
      <c r="I1013" s="51"/>
      <c r="K1013" s="2"/>
    </row>
    <row r="1014" customFormat="false" ht="15" hidden="false" customHeight="false" outlineLevel="0" collapsed="false">
      <c r="I1014" s="51"/>
      <c r="K1014" s="2"/>
    </row>
    <row r="1015" customFormat="false" ht="15" hidden="false" customHeight="false" outlineLevel="0" collapsed="false">
      <c r="I1015" s="51"/>
      <c r="K1015" s="2"/>
    </row>
    <row r="1016" customFormat="false" ht="15" hidden="false" customHeight="false" outlineLevel="0" collapsed="false">
      <c r="I1016" s="51"/>
      <c r="K1016" s="2"/>
    </row>
    <row r="1017" customFormat="false" ht="15" hidden="false" customHeight="false" outlineLevel="0" collapsed="false">
      <c r="I1017" s="51"/>
      <c r="K1017" s="2"/>
    </row>
    <row r="1018" customFormat="false" ht="15" hidden="false" customHeight="false" outlineLevel="0" collapsed="false">
      <c r="I1018" s="51"/>
      <c r="K1018" s="2"/>
    </row>
    <row r="1019" customFormat="false" ht="15" hidden="false" customHeight="false" outlineLevel="0" collapsed="false">
      <c r="I1019" s="51"/>
      <c r="K1019" s="2"/>
    </row>
    <row r="1020" customFormat="false" ht="15" hidden="false" customHeight="false" outlineLevel="0" collapsed="false">
      <c r="I1020" s="51"/>
      <c r="K1020" s="2"/>
    </row>
    <row r="1021" customFormat="false" ht="15" hidden="false" customHeight="false" outlineLevel="0" collapsed="false">
      <c r="I1021" s="51"/>
      <c r="K1021" s="2"/>
    </row>
    <row r="1022" customFormat="false" ht="15" hidden="false" customHeight="false" outlineLevel="0" collapsed="false">
      <c r="I1022" s="51"/>
      <c r="K1022" s="2"/>
    </row>
    <row r="1023" customFormat="false" ht="15" hidden="false" customHeight="false" outlineLevel="0" collapsed="false">
      <c r="I1023" s="51"/>
      <c r="K1023" s="2"/>
    </row>
    <row r="1024" customFormat="false" ht="15" hidden="false" customHeight="false" outlineLevel="0" collapsed="false">
      <c r="I1024" s="51"/>
      <c r="K1024" s="2"/>
    </row>
    <row r="1025" customFormat="false" ht="15" hidden="false" customHeight="false" outlineLevel="0" collapsed="false">
      <c r="I1025" s="51"/>
      <c r="K1025" s="2"/>
    </row>
    <row r="1026" customFormat="false" ht="15" hidden="false" customHeight="false" outlineLevel="0" collapsed="false">
      <c r="I1026" s="51"/>
      <c r="K1026" s="2"/>
    </row>
    <row r="1027" customFormat="false" ht="15" hidden="false" customHeight="false" outlineLevel="0" collapsed="false">
      <c r="I1027" s="51"/>
      <c r="K1027" s="2"/>
    </row>
    <row r="1028" customFormat="false" ht="15" hidden="false" customHeight="false" outlineLevel="0" collapsed="false">
      <c r="I1028" s="51"/>
      <c r="K1028" s="2"/>
    </row>
    <row r="1029" customFormat="false" ht="15" hidden="false" customHeight="false" outlineLevel="0" collapsed="false">
      <c r="I1029" s="51"/>
      <c r="K1029" s="2"/>
    </row>
    <row r="1030" customFormat="false" ht="15" hidden="false" customHeight="false" outlineLevel="0" collapsed="false">
      <c r="I1030" s="51"/>
      <c r="K1030" s="2"/>
    </row>
    <row r="1031" customFormat="false" ht="15" hidden="false" customHeight="false" outlineLevel="0" collapsed="false">
      <c r="I1031" s="51"/>
      <c r="K1031" s="2"/>
    </row>
    <row r="1032" customFormat="false" ht="15" hidden="false" customHeight="false" outlineLevel="0" collapsed="false">
      <c r="I1032" s="51"/>
      <c r="K1032" s="2"/>
    </row>
    <row r="1033" customFormat="false" ht="15" hidden="false" customHeight="false" outlineLevel="0" collapsed="false">
      <c r="I1033" s="51"/>
      <c r="K1033" s="2"/>
    </row>
    <row r="1034" customFormat="false" ht="15" hidden="false" customHeight="false" outlineLevel="0" collapsed="false">
      <c r="I1034" s="51"/>
      <c r="K1034" s="2"/>
    </row>
    <row r="1035" customFormat="false" ht="15" hidden="false" customHeight="false" outlineLevel="0" collapsed="false">
      <c r="I1035" s="51"/>
      <c r="K1035" s="2"/>
    </row>
    <row r="1036" customFormat="false" ht="15" hidden="false" customHeight="false" outlineLevel="0" collapsed="false">
      <c r="I1036" s="51"/>
      <c r="K1036" s="2"/>
    </row>
    <row r="1037" customFormat="false" ht="15" hidden="false" customHeight="false" outlineLevel="0" collapsed="false">
      <c r="I1037" s="51"/>
      <c r="K1037" s="2"/>
    </row>
    <row r="1038" customFormat="false" ht="15" hidden="false" customHeight="false" outlineLevel="0" collapsed="false">
      <c r="I1038" s="51"/>
      <c r="K1038" s="2"/>
    </row>
    <row r="1039" customFormat="false" ht="15" hidden="false" customHeight="false" outlineLevel="0" collapsed="false">
      <c r="I1039" s="51"/>
      <c r="K1039" s="2"/>
    </row>
    <row r="1040" customFormat="false" ht="15" hidden="false" customHeight="false" outlineLevel="0" collapsed="false">
      <c r="I1040" s="51"/>
      <c r="K1040" s="2"/>
    </row>
    <row r="1041" customFormat="false" ht="15" hidden="false" customHeight="false" outlineLevel="0" collapsed="false">
      <c r="I1041" s="51"/>
      <c r="K1041" s="2"/>
    </row>
    <row r="1042" customFormat="false" ht="15" hidden="false" customHeight="false" outlineLevel="0" collapsed="false">
      <c r="I1042" s="51"/>
      <c r="K1042" s="2"/>
    </row>
    <row r="1043" customFormat="false" ht="15" hidden="false" customHeight="false" outlineLevel="0" collapsed="false">
      <c r="I1043" s="51"/>
      <c r="K1043" s="2"/>
    </row>
    <row r="1044" customFormat="false" ht="15" hidden="false" customHeight="false" outlineLevel="0" collapsed="false">
      <c r="I1044" s="51"/>
      <c r="K1044" s="2"/>
    </row>
    <row r="1045" customFormat="false" ht="15" hidden="false" customHeight="false" outlineLevel="0" collapsed="false">
      <c r="I1045" s="51"/>
      <c r="K1045" s="2"/>
    </row>
    <row r="1046" customFormat="false" ht="15" hidden="false" customHeight="false" outlineLevel="0" collapsed="false">
      <c r="I1046" s="51"/>
      <c r="K1046" s="2"/>
    </row>
    <row r="1047" customFormat="false" ht="15" hidden="false" customHeight="false" outlineLevel="0" collapsed="false">
      <c r="I1047" s="51"/>
      <c r="K1047" s="2"/>
    </row>
    <row r="1048" customFormat="false" ht="15" hidden="false" customHeight="false" outlineLevel="0" collapsed="false">
      <c r="I1048" s="51"/>
      <c r="K1048" s="2"/>
    </row>
    <row r="1049" customFormat="false" ht="15" hidden="false" customHeight="false" outlineLevel="0" collapsed="false">
      <c r="I1049" s="51"/>
      <c r="K1049" s="2"/>
    </row>
    <row r="1050" customFormat="false" ht="15" hidden="false" customHeight="false" outlineLevel="0" collapsed="false">
      <c r="I1050" s="51"/>
      <c r="K1050" s="2"/>
    </row>
    <row r="1051" customFormat="false" ht="15" hidden="false" customHeight="false" outlineLevel="0" collapsed="false">
      <c r="I1051" s="51"/>
      <c r="K1051" s="2"/>
    </row>
    <row r="1052" customFormat="false" ht="15" hidden="false" customHeight="false" outlineLevel="0" collapsed="false">
      <c r="I1052" s="51"/>
      <c r="K1052" s="2"/>
    </row>
    <row r="1053" customFormat="false" ht="15" hidden="false" customHeight="false" outlineLevel="0" collapsed="false">
      <c r="I1053" s="51"/>
      <c r="K1053" s="2"/>
    </row>
    <row r="1054" customFormat="false" ht="15" hidden="false" customHeight="false" outlineLevel="0" collapsed="false">
      <c r="I1054" s="51"/>
      <c r="K1054" s="2"/>
    </row>
    <row r="1055" customFormat="false" ht="15" hidden="false" customHeight="false" outlineLevel="0" collapsed="false">
      <c r="I1055" s="51"/>
      <c r="K1055" s="2"/>
    </row>
    <row r="1056" customFormat="false" ht="15" hidden="false" customHeight="false" outlineLevel="0" collapsed="false">
      <c r="I1056" s="51"/>
      <c r="K1056" s="2"/>
    </row>
    <row r="1057" customFormat="false" ht="15" hidden="false" customHeight="false" outlineLevel="0" collapsed="false">
      <c r="I1057" s="51"/>
      <c r="K1057" s="2"/>
    </row>
    <row r="1058" customFormat="false" ht="15" hidden="false" customHeight="false" outlineLevel="0" collapsed="false">
      <c r="I1058" s="51"/>
      <c r="K1058" s="2"/>
    </row>
    <row r="1059" customFormat="false" ht="15" hidden="false" customHeight="false" outlineLevel="0" collapsed="false">
      <c r="I1059" s="51"/>
      <c r="K1059" s="2"/>
    </row>
    <row r="1060" customFormat="false" ht="15" hidden="false" customHeight="false" outlineLevel="0" collapsed="false">
      <c r="I1060" s="51"/>
      <c r="K1060" s="2"/>
    </row>
  </sheetData>
  <mergeCells count="1">
    <mergeCell ref="A1:J1"/>
  </mergeCells>
  <hyperlinks>
    <hyperlink ref="K24" r:id="rId2" display="https://outlook.office.com/people/group/cta-observatory.org/lst-extsc"/>
    <hyperlink ref="K46" r:id="rId3" display="https://outlook.office.com/people/group/cta-observatory.org/lst-safety"/>
    <hyperlink ref="K65" r:id="rId4" display="https://docs.google.com/spreadsheets/d/1ms2oEZjLiajTPHWiXO35cvQ0qORz6xLTHCUwrVX4LA4/edit?usp=sharing"/>
    <hyperlink ref="K66" r:id="rId5" display="https://www.lst1.iac.es/operations/foa/index.html.   [format: name surname (year, number of duties)]: Javier Méndez-Gallego (2024, 1), Sweta Menon (2024, 1), Lea Heckmann (2024, 1), Irene Jimenez Martinez (2024, 1), Juan Bernete (2024, 1), Roger Grau (2024, 1), Ryuji Takeishi (2024, 1), Helena Luciani (2024, 1), Yusuke Suda (2024, 0.5), Joshua Baxter (2024, 0.5), Tora Therese Høiland Arnesen (2024, 0.5), Thomas Tavernier (2024, 0.5), Joshua Baxter (2025, 0.5), Tora Therese Høiland Arnesen (2025, 0.5), Thomas Tavernier (2025, 0.5), Cyann Plard (2025, 1), Guillaume Grolleron (2025, 1), Sweta Menon (2025, 1), Yusuke Suda (2025, 1.5), Mathilde Croisonnier (2025, 1), Helena Luciani (2025, 1), Hideaki Katagiri (2025, 1), Alan Sunny (2025, 1), Ryuji Takeishi (2025, 1)"/>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docProps/app.xml><?xml version="1.0" encoding="utf-8"?>
<Properties xmlns="http://schemas.openxmlformats.org/officeDocument/2006/extended-properties" xmlns:vt="http://schemas.openxmlformats.org/officeDocument/2006/docPropsVTypes">
  <Template/>
  <TotalTime>482</TotalTime>
  <Application>LibreOffice/7.1.8.1$Linux_X86_64 LibreOffice_project/10$Build-1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2025-07-04T12:27:49Z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